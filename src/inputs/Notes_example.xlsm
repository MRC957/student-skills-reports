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5.xml" ContentType="application/vnd.ms-excel.person+xml"/>
  <Override PartName="/xl/persons/person11.xml" ContentType="application/vnd.ms-excel.person+xml"/>
  <Override PartName="/xl/persons/person32.xml" ContentType="application/vnd.ms-excel.person+xml"/>
  <Override PartName="/xl/persons/person36.xml" ContentType="application/vnd.ms-excel.person+xml"/>
  <Override PartName="/xl/persons/person52.xml" ContentType="application/vnd.ms-excel.person+xml"/>
  <Override PartName="/xl/persons/person57.xml" ContentType="application/vnd.ms-excel.person+xml"/>
  <Override PartName="/xl/persons/person24.xml" ContentType="application/vnd.ms-excel.person+xml"/>
  <Override PartName="/xl/persons/person39.xml" ContentType="application/vnd.ms-excel.person+xml"/>
  <Override PartName="/xl/persons/person43.xml" ContentType="application/vnd.ms-excel.person+xml"/>
  <Override PartName="/xl/persons/person5.xml" ContentType="application/vnd.ms-excel.person+xml"/>
  <Override PartName="/xl/persons/person19.xml" ContentType="application/vnd.ms-excel.person+xml"/>
  <Override PartName="/xl/persons/person0.xml" ContentType="application/vnd.ms-excel.person+xml"/>
  <Override PartName="/xl/persons/person13.xml" ContentType="application/vnd.ms-excel.person+xml"/>
  <Override PartName="/xl/persons/person22.xml" ContentType="application/vnd.ms-excel.person+xml"/>
  <Override PartName="/xl/persons/person27.xml" ContentType="application/vnd.ms-excel.person+xml"/>
  <Override PartName="/xl/persons/person30.xml" ContentType="application/vnd.ms-excel.person+xml"/>
  <Override PartName="/xl/persons/person35.xml" ContentType="application/vnd.ms-excel.person+xml"/>
  <Override PartName="/xl/persons/person42.xml" ContentType="application/vnd.ms-excel.person+xml"/>
  <Override PartName="/xl/persons/person45.xml" ContentType="application/vnd.ms-excel.person+xml"/>
  <Override PartName="/xl/persons/person55.xml" ContentType="application/vnd.ms-excel.person+xml"/>
  <Override PartName="/xl/persons/person48.xml" ContentType="application/vnd.ms-excel.person+xml"/>
  <Override PartName="/xl/persons/person9.xml" ContentType="application/vnd.ms-excel.person+xml"/>
  <Override PartName="/xl/persons/person47.xml" ContentType="application/vnd.ms-excel.person+xml"/>
  <Override PartName="/xl/persons/person23.xml" ContentType="application/vnd.ms-excel.person+xml"/>
  <Override PartName="/xl/persons/person20.xml" ContentType="application/vnd.ms-excel.person+xml"/>
  <Override PartName="/xl/persons/person18.xml" ContentType="application/vnd.ms-excel.person+xml"/>
  <Override PartName="/xl/persons/person10.xml" ContentType="application/vnd.ms-excel.person+xml"/>
  <Override PartName="/xl/persons/person4.xml" ContentType="application/vnd.ms-excel.person+xml"/>
  <Override PartName="/xl/persons/person25.xml" ContentType="application/vnd.ms-excel.person+xml"/>
  <Override PartName="/xl/persons/person33.xml" ContentType="application/vnd.ms-excel.person+xml"/>
  <Override PartName="/xl/persons/person53.xml" ContentType="application/vnd.ms-excel.person+xml"/>
  <Override PartName="/xl/persons/person58.xml" ContentType="application/vnd.ms-excel.person+xml"/>
  <Override PartName="/xl/persons/person41.xml" ContentType="application/vnd.ms-excel.person+xml"/>
  <Override PartName="/xl/persons/person50.xml" ContentType="application/vnd.ms-excel.person+xml"/>
  <Override PartName="/xl/persons/person37.xml" ContentType="application/vnd.ms-excel.person+xml"/>
  <Override PartName="/xl/persons/person1.xml" ContentType="application/vnd.ms-excel.person+xml"/>
  <Override PartName="/xl/persons/person6.xml" ContentType="application/vnd.ms-excel.person+xml"/>
  <Override PartName="/xl/persons/person14.xml" ContentType="application/vnd.ms-excel.person+xml"/>
  <Override PartName="/xl/persons/person21.xml" ContentType="application/vnd.ms-excel.person+xml"/>
  <Override PartName="/xl/persons/person28.xml" ContentType="application/vnd.ms-excel.person+xml"/>
  <Override PartName="/xl/persons/person56.xml" ContentType="application/vnd.ms-excel.person+xml"/>
  <Override PartName="/xl/persons/person44.xml" ContentType="application/vnd.ms-excel.person+xml"/>
  <Override PartName="/xl/persons/person8.xml" ContentType="application/vnd.ms-excel.person+xml"/>
  <Override PartName="/xl/persons/person31.xml" ContentType="application/vnd.ms-excel.person+xml"/>
  <Override PartName="/xl/persons/person51.xml" ContentType="application/vnd.ms-excel.person+xml"/>
  <Override PartName="/xl/persons/person.xml" ContentType="application/vnd.ms-excel.person+xml"/>
  <Override PartName="/xl/persons/person46.xml" ContentType="application/vnd.ms-excel.person+xml"/>
  <Override PartName="/xl/persons/person3.xml" ContentType="application/vnd.ms-excel.person+xml"/>
  <Override PartName="/xl/persons/person12.xml" ContentType="application/vnd.ms-excel.person+xml"/>
  <Override PartName="/xl/persons/person16.xml" ContentType="application/vnd.ms-excel.person+xml"/>
  <Override PartName="/xl/persons/person26.xml" ContentType="application/vnd.ms-excel.person+xml"/>
  <Override PartName="/xl/persons/person38.xml" ContentType="application/vnd.ms-excel.person+xml"/>
  <Override PartName="/xl/persons/person49.xml" ContentType="application/vnd.ms-excel.person+xml"/>
  <Override PartName="/xl/persons/person17.xml" ContentType="application/vnd.ms-excel.person+xml"/>
  <Override PartName="/xl/persons/person34.xml" ContentType="application/vnd.ms-excel.person+xml"/>
  <Override PartName="/xl/persons/person40.xml" ContentType="application/vnd.ms-excel.person+xml"/>
  <Override PartName="/xl/persons/person54.xml" ContentType="application/vnd.ms-excel.person+xml"/>
  <Override PartName="/xl/persons/person2.xml" ContentType="application/vnd.ms-excel.person+xml"/>
  <Override PartName="/xl/persons/person7.xml" ContentType="application/vnd.ms-excel.person+xml"/>
  <Override PartName="/xl/persons/person29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ThisWorkbook"/>
  <xr:revisionPtr revIDLastSave="0" documentId="13_ncr:1_{EEB5C11A-BFB2-484F-B467-CBED40FE7E7E}" xr6:coauthVersionLast="47" xr6:coauthVersionMax="47" xr10:uidLastSave="{00000000-0000-0000-0000-000000000000}"/>
  <bookViews>
    <workbookView xWindow="60" yWindow="165" windowWidth="10980" windowHeight="15465" xr2:uid="{00000000-000D-0000-FFFF-FFFF00000000}"/>
  </bookViews>
  <sheets>
    <sheet name="Class1" sheetId="24" r:id="rId1"/>
    <sheet name="Class2" sheetId="25" r:id="rId2"/>
    <sheet name="export CSV" sheetId="22" r:id="rId3"/>
  </sheets>
  <definedNames>
    <definedName name="_xlnm.Print_Titles" localSheetId="0">Class1!$2:$5</definedName>
    <definedName name="_xlnm.Print_Titles" localSheetId="1">Class2!$2:$5</definedName>
    <definedName name="_xlnm.Print_Area" localSheetId="0">Class1!$B$2:$W$28</definedName>
    <definedName name="_xlnm.Print_Area" localSheetId="1">Class2!$B$2:$W$28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5" i="25" l="1"/>
  <c r="AB15" i="25"/>
  <c r="AC14" i="25"/>
  <c r="AB14" i="25"/>
  <c r="AC13" i="25"/>
  <c r="AB13" i="25"/>
  <c r="AC12" i="25"/>
  <c r="AB12" i="25"/>
  <c r="AC11" i="25"/>
  <c r="AB11" i="25"/>
  <c r="AC10" i="25"/>
  <c r="AB10" i="25"/>
  <c r="AC9" i="25"/>
  <c r="AB9" i="25"/>
  <c r="AC15" i="24"/>
  <c r="AC14" i="24"/>
  <c r="AC13" i="24"/>
  <c r="AC12" i="24"/>
  <c r="AC11" i="24"/>
  <c r="AB15" i="24"/>
  <c r="AB14" i="24"/>
  <c r="AB13" i="24"/>
  <c r="AB12" i="24"/>
  <c r="AB11" i="24"/>
  <c r="H6" i="25"/>
  <c r="I6" i="25"/>
  <c r="T6" i="25" s="1"/>
  <c r="J6" i="25"/>
  <c r="AA6" i="25"/>
  <c r="H7" i="25"/>
  <c r="I7" i="25"/>
  <c r="J7" i="25"/>
  <c r="AA7" i="25"/>
  <c r="H8" i="25"/>
  <c r="I8" i="25"/>
  <c r="T8" i="25" s="1"/>
  <c r="J8" i="25"/>
  <c r="AA8" i="25"/>
  <c r="H9" i="25"/>
  <c r="I9" i="25"/>
  <c r="T9" i="25" s="1"/>
  <c r="J9" i="25"/>
  <c r="AA9" i="25"/>
  <c r="AD9" i="25"/>
  <c r="AE9" i="25"/>
  <c r="H10" i="25"/>
  <c r="I10" i="25"/>
  <c r="J10" i="25"/>
  <c r="AA10" i="25"/>
  <c r="AD10" i="25"/>
  <c r="AE10" i="25"/>
  <c r="H11" i="25"/>
  <c r="I11" i="25"/>
  <c r="T11" i="25" s="1"/>
  <c r="J11" i="25"/>
  <c r="AA11" i="25"/>
  <c r="AD11" i="25"/>
  <c r="AE11" i="25"/>
  <c r="H12" i="25"/>
  <c r="I12" i="25"/>
  <c r="T12" i="25" s="1"/>
  <c r="J12" i="25"/>
  <c r="AA12" i="25"/>
  <c r="AD12" i="25"/>
  <c r="AE12" i="25"/>
  <c r="H13" i="25"/>
  <c r="I13" i="25"/>
  <c r="T13" i="25" s="1"/>
  <c r="J13" i="25"/>
  <c r="AA13" i="25"/>
  <c r="AD13" i="25"/>
  <c r="AE13" i="25"/>
  <c r="H14" i="25"/>
  <c r="I14" i="25"/>
  <c r="T14" i="25" s="1"/>
  <c r="J14" i="25"/>
  <c r="AA14" i="25"/>
  <c r="AD14" i="25"/>
  <c r="AE14" i="25"/>
  <c r="H15" i="25"/>
  <c r="I15" i="25"/>
  <c r="T15" i="25" s="1"/>
  <c r="J15" i="25"/>
  <c r="AA15" i="25"/>
  <c r="AD15" i="25"/>
  <c r="AE15" i="25"/>
  <c r="H16" i="25"/>
  <c r="I16" i="25"/>
  <c r="T16" i="25" s="1"/>
  <c r="J16" i="25"/>
  <c r="AE16" i="25"/>
  <c r="H17" i="25"/>
  <c r="I17" i="25"/>
  <c r="T17" i="25" s="1"/>
  <c r="J17" i="25"/>
  <c r="H18" i="25"/>
  <c r="I18" i="25"/>
  <c r="T18" i="25" s="1"/>
  <c r="J18" i="25"/>
  <c r="H19" i="25"/>
  <c r="I19" i="25"/>
  <c r="U19" i="25" s="1"/>
  <c r="J19" i="25"/>
  <c r="H20" i="25"/>
  <c r="I20" i="25"/>
  <c r="T20" i="25" s="1"/>
  <c r="J20" i="25"/>
  <c r="H21" i="25"/>
  <c r="I21" i="25"/>
  <c r="T21" i="25" s="1"/>
  <c r="J21" i="25"/>
  <c r="H22" i="25"/>
  <c r="I22" i="25"/>
  <c r="T22" i="25" s="1"/>
  <c r="J22" i="25"/>
  <c r="H23" i="25"/>
  <c r="I23" i="25"/>
  <c r="T23" i="25" s="1"/>
  <c r="J23" i="25"/>
  <c r="H24" i="25"/>
  <c r="I24" i="25"/>
  <c r="T24" i="25" s="1"/>
  <c r="J24" i="25"/>
  <c r="H25" i="25"/>
  <c r="I25" i="25"/>
  <c r="T25" i="25" s="1"/>
  <c r="J25" i="25"/>
  <c r="H26" i="25"/>
  <c r="I26" i="25"/>
  <c r="U26" i="25" s="1"/>
  <c r="J26" i="25"/>
  <c r="H27" i="25"/>
  <c r="I27" i="25"/>
  <c r="T27" i="25" s="1"/>
  <c r="J27" i="25"/>
  <c r="H28" i="25"/>
  <c r="I28" i="25"/>
  <c r="T28" i="25" s="1"/>
  <c r="J28" i="25"/>
  <c r="H6" i="24"/>
  <c r="I6" i="24"/>
  <c r="J6" i="24"/>
  <c r="K6" i="24"/>
  <c r="L6" i="24"/>
  <c r="AA6" i="24"/>
  <c r="H7" i="24"/>
  <c r="I7" i="24"/>
  <c r="J7" i="24"/>
  <c r="K7" i="24"/>
  <c r="L7" i="24"/>
  <c r="AA7" i="24"/>
  <c r="H8" i="24"/>
  <c r="I8" i="24"/>
  <c r="J8" i="24"/>
  <c r="K8" i="24"/>
  <c r="L8" i="24"/>
  <c r="AA8" i="24"/>
  <c r="H9" i="24"/>
  <c r="I9" i="24"/>
  <c r="J9" i="24"/>
  <c r="K9" i="24"/>
  <c r="L9" i="24"/>
  <c r="AA9" i="24"/>
  <c r="H10" i="24"/>
  <c r="I10" i="24"/>
  <c r="J10" i="24"/>
  <c r="K10" i="24"/>
  <c r="L10" i="24"/>
  <c r="AA10" i="24"/>
  <c r="H11" i="24"/>
  <c r="I11" i="24"/>
  <c r="J11" i="24"/>
  <c r="K11" i="24"/>
  <c r="L11" i="24"/>
  <c r="AA11" i="24"/>
  <c r="AD11" i="24"/>
  <c r="AE11" i="24"/>
  <c r="AF11" i="24"/>
  <c r="H12" i="24"/>
  <c r="I12" i="24"/>
  <c r="J12" i="24"/>
  <c r="K12" i="24"/>
  <c r="L12" i="24"/>
  <c r="AA12" i="24"/>
  <c r="AD12" i="24"/>
  <c r="AF12" i="24" s="1"/>
  <c r="AE12" i="24"/>
  <c r="H13" i="24"/>
  <c r="I13" i="24"/>
  <c r="J13" i="24"/>
  <c r="K13" i="24"/>
  <c r="L13" i="24"/>
  <c r="AA13" i="24"/>
  <c r="AD13" i="24"/>
  <c r="AE13" i="24"/>
  <c r="AF13" i="24"/>
  <c r="H14" i="24"/>
  <c r="I14" i="24"/>
  <c r="J14" i="24"/>
  <c r="K14" i="24"/>
  <c r="L14" i="24"/>
  <c r="AA14" i="24"/>
  <c r="AD14" i="24"/>
  <c r="AE14" i="24"/>
  <c r="AF14" i="24" s="1"/>
  <c r="H15" i="24"/>
  <c r="I15" i="24"/>
  <c r="J15" i="24"/>
  <c r="K15" i="24"/>
  <c r="L15" i="24"/>
  <c r="AA15" i="24"/>
  <c r="AD15" i="24"/>
  <c r="AE15" i="24"/>
  <c r="AF15" i="24"/>
  <c r="H16" i="24"/>
  <c r="I16" i="24"/>
  <c r="J16" i="24"/>
  <c r="K16" i="24"/>
  <c r="L16" i="24"/>
  <c r="AE16" i="24"/>
  <c r="H17" i="24"/>
  <c r="I17" i="24"/>
  <c r="J17" i="24"/>
  <c r="K17" i="24"/>
  <c r="L17" i="24"/>
  <c r="H18" i="24"/>
  <c r="I18" i="24"/>
  <c r="J18" i="24"/>
  <c r="K18" i="24"/>
  <c r="L18" i="24"/>
  <c r="H19" i="24"/>
  <c r="I19" i="24"/>
  <c r="J19" i="24"/>
  <c r="K19" i="24"/>
  <c r="L19" i="24"/>
  <c r="H20" i="24"/>
  <c r="I20" i="24"/>
  <c r="J20" i="24"/>
  <c r="K20" i="24"/>
  <c r="L20" i="24"/>
  <c r="H21" i="24"/>
  <c r="I21" i="24"/>
  <c r="J21" i="24"/>
  <c r="K21" i="24"/>
  <c r="L21" i="24"/>
  <c r="H22" i="24"/>
  <c r="I22" i="24"/>
  <c r="J22" i="24"/>
  <c r="K22" i="24"/>
  <c r="L22" i="24"/>
  <c r="H23" i="24"/>
  <c r="I23" i="24"/>
  <c r="J23" i="24"/>
  <c r="K23" i="24"/>
  <c r="L23" i="24"/>
  <c r="H24" i="24"/>
  <c r="I24" i="24"/>
  <c r="J24" i="24"/>
  <c r="K24" i="24"/>
  <c r="L24" i="24"/>
  <c r="H25" i="24"/>
  <c r="I25" i="24"/>
  <c r="J25" i="24"/>
  <c r="K25" i="24"/>
  <c r="L25" i="24"/>
  <c r="H26" i="24"/>
  <c r="I26" i="24"/>
  <c r="J26" i="24"/>
  <c r="K26" i="24"/>
  <c r="L26" i="24"/>
  <c r="AF13" i="25" l="1"/>
  <c r="AF15" i="25"/>
  <c r="AF10" i="25"/>
  <c r="AF11" i="25"/>
  <c r="AF12" i="25"/>
  <c r="AF14" i="25"/>
  <c r="AF9" i="25"/>
  <c r="AC6" i="25"/>
  <c r="AC8" i="25"/>
  <c r="AB8" i="25"/>
  <c r="AB6" i="25"/>
  <c r="AB7" i="25"/>
  <c r="AC7" i="25"/>
  <c r="AC10" i="24"/>
  <c r="AC9" i="24"/>
  <c r="AC8" i="24"/>
  <c r="AC7" i="24"/>
  <c r="AC6" i="24"/>
  <c r="AB9" i="24"/>
  <c r="AB8" i="24"/>
  <c r="AB7" i="24"/>
  <c r="AB6" i="24"/>
  <c r="AB10" i="24"/>
  <c r="W26" i="25"/>
  <c r="U26" i="24"/>
  <c r="W26" i="24" s="1"/>
  <c r="U11" i="24"/>
  <c r="W11" i="24" s="1"/>
  <c r="T18" i="24"/>
  <c r="V18" i="24" s="1"/>
  <c r="U6" i="25"/>
  <c r="W6" i="25" s="1"/>
  <c r="T23" i="24"/>
  <c r="V23" i="24" s="1"/>
  <c r="V17" i="25"/>
  <c r="T7" i="24"/>
  <c r="V7" i="24" s="1"/>
  <c r="U28" i="25"/>
  <c r="R28" i="25" s="1"/>
  <c r="T26" i="25"/>
  <c r="V26" i="25" s="1"/>
  <c r="U15" i="25"/>
  <c r="W15" i="25" s="1"/>
  <c r="U8" i="24"/>
  <c r="W8" i="24" s="1"/>
  <c r="U16" i="25"/>
  <c r="W16" i="25" s="1"/>
  <c r="T6" i="24"/>
  <c r="V6" i="24" s="1"/>
  <c r="U17" i="25"/>
  <c r="W17" i="25" s="1"/>
  <c r="S17" i="25" s="1"/>
  <c r="V15" i="25"/>
  <c r="U9" i="25"/>
  <c r="R9" i="25" s="1"/>
  <c r="V22" i="25"/>
  <c r="U8" i="25"/>
  <c r="W8" i="25" s="1"/>
  <c r="V14" i="25"/>
  <c r="V24" i="25"/>
  <c r="V11" i="25"/>
  <c r="V20" i="25"/>
  <c r="T22" i="24"/>
  <c r="V22" i="24" s="1"/>
  <c r="AD8" i="25"/>
  <c r="U24" i="25"/>
  <c r="W24" i="25" s="1"/>
  <c r="U22" i="25"/>
  <c r="R22" i="25" s="1"/>
  <c r="U20" i="25"/>
  <c r="W20" i="25" s="1"/>
  <c r="W19" i="25"/>
  <c r="U14" i="25"/>
  <c r="W14" i="25" s="1"/>
  <c r="AD6" i="25"/>
  <c r="V28" i="25"/>
  <c r="U23" i="24"/>
  <c r="U25" i="25"/>
  <c r="R25" i="25" s="1"/>
  <c r="U13" i="25"/>
  <c r="W13" i="25" s="1"/>
  <c r="U7" i="25"/>
  <c r="W7" i="25" s="1"/>
  <c r="V16" i="25"/>
  <c r="V8" i="25"/>
  <c r="T7" i="25"/>
  <c r="V7" i="25" s="1"/>
  <c r="V6" i="25"/>
  <c r="V25" i="25"/>
  <c r="AE7" i="25"/>
  <c r="V23" i="25"/>
  <c r="V21" i="25"/>
  <c r="V27" i="25"/>
  <c r="V18" i="25"/>
  <c r="V13" i="25"/>
  <c r="V12" i="25"/>
  <c r="AD7" i="25"/>
  <c r="AE6" i="25"/>
  <c r="T19" i="25"/>
  <c r="U12" i="25"/>
  <c r="W12" i="25" s="1"/>
  <c r="U27" i="25"/>
  <c r="W27" i="25" s="1"/>
  <c r="U23" i="25"/>
  <c r="W23" i="25" s="1"/>
  <c r="U21" i="25"/>
  <c r="W21" i="25" s="1"/>
  <c r="U11" i="25"/>
  <c r="W11" i="25" s="1"/>
  <c r="U18" i="25"/>
  <c r="W18" i="25" s="1"/>
  <c r="U10" i="25"/>
  <c r="W10" i="25" s="1"/>
  <c r="V9" i="25"/>
  <c r="T26" i="24"/>
  <c r="V26" i="24" s="1"/>
  <c r="T12" i="24"/>
  <c r="V12" i="24" s="1"/>
  <c r="U6" i="24"/>
  <c r="W6" i="24" s="1"/>
  <c r="T10" i="25"/>
  <c r="U20" i="24"/>
  <c r="T15" i="24"/>
  <c r="V15" i="24" s="1"/>
  <c r="AE8" i="25"/>
  <c r="U9" i="24"/>
  <c r="W9" i="24" s="1"/>
  <c r="T11" i="24"/>
  <c r="V11" i="24" s="1"/>
  <c r="U10" i="24"/>
  <c r="W10" i="24" s="1"/>
  <c r="T14" i="24"/>
  <c r="V14" i="24" s="1"/>
  <c r="T19" i="24"/>
  <c r="V19" i="24" s="1"/>
  <c r="U25" i="24"/>
  <c r="W25" i="24" s="1"/>
  <c r="AD9" i="24"/>
  <c r="U17" i="24"/>
  <c r="W17" i="24" s="1"/>
  <c r="U16" i="24"/>
  <c r="W16" i="24" s="1"/>
  <c r="U22" i="24"/>
  <c r="T13" i="24"/>
  <c r="V13" i="24" s="1"/>
  <c r="T20" i="24"/>
  <c r="V20" i="24" s="1"/>
  <c r="U14" i="24"/>
  <c r="W14" i="24" s="1"/>
  <c r="AE6" i="24"/>
  <c r="T9" i="24"/>
  <c r="V9" i="24" s="1"/>
  <c r="T8" i="24"/>
  <c r="V8" i="24" s="1"/>
  <c r="T21" i="24"/>
  <c r="V21" i="24" s="1"/>
  <c r="U19" i="24"/>
  <c r="T25" i="24"/>
  <c r="V25" i="24" s="1"/>
  <c r="T24" i="24"/>
  <c r="V24" i="24" s="1"/>
  <c r="T17" i="24"/>
  <c r="V17" i="24" s="1"/>
  <c r="T16" i="24"/>
  <c r="V16" i="24" s="1"/>
  <c r="AD6" i="24"/>
  <c r="AE8" i="24"/>
  <c r="U13" i="24"/>
  <c r="W13" i="24" s="1"/>
  <c r="U24" i="24"/>
  <c r="W24" i="24" s="1"/>
  <c r="U18" i="24"/>
  <c r="W18" i="24" s="1"/>
  <c r="AD8" i="24"/>
  <c r="U21" i="24"/>
  <c r="W21" i="24" s="1"/>
  <c r="U15" i="24"/>
  <c r="W15" i="24" s="1"/>
  <c r="AE10" i="24"/>
  <c r="T10" i="24"/>
  <c r="V10" i="24" s="1"/>
  <c r="U7" i="24"/>
  <c r="U12" i="24"/>
  <c r="W12" i="24" s="1"/>
  <c r="AD10" i="24"/>
  <c r="AE7" i="24"/>
  <c r="AD7" i="24"/>
  <c r="AE9" i="24"/>
  <c r="S6" i="25" l="1"/>
  <c r="R23" i="24"/>
  <c r="S15" i="25"/>
  <c r="W25" i="25"/>
  <c r="S25" i="25" s="1"/>
  <c r="C25" i="25" s="1"/>
  <c r="D25" i="25" s="1"/>
  <c r="R11" i="24"/>
  <c r="W23" i="24"/>
  <c r="S23" i="24" s="1"/>
  <c r="R22" i="24"/>
  <c r="R15" i="25"/>
  <c r="AF6" i="25"/>
  <c r="W28" i="25"/>
  <c r="S28" i="25" s="1"/>
  <c r="C28" i="25" s="1"/>
  <c r="D28" i="25" s="1"/>
  <c r="S26" i="25"/>
  <c r="W9" i="25"/>
  <c r="S9" i="25" s="1"/>
  <c r="C9" i="25" s="1"/>
  <c r="D9" i="25" s="1"/>
  <c r="S11" i="25"/>
  <c r="R7" i="24"/>
  <c r="R17" i="25"/>
  <c r="C17" i="25" s="1"/>
  <c r="D17" i="25" s="1"/>
  <c r="W22" i="25"/>
  <c r="S22" i="25" s="1"/>
  <c r="C22" i="25" s="1"/>
  <c r="D22" i="25" s="1"/>
  <c r="R6" i="25"/>
  <c r="R26" i="25"/>
  <c r="R16" i="25"/>
  <c r="S14" i="25"/>
  <c r="AF8" i="25"/>
  <c r="R8" i="25"/>
  <c r="S20" i="25"/>
  <c r="R6" i="24"/>
  <c r="R14" i="25"/>
  <c r="S13" i="25"/>
  <c r="R14" i="24"/>
  <c r="R26" i="24"/>
  <c r="S26" i="24"/>
  <c r="S24" i="25"/>
  <c r="R20" i="24"/>
  <c r="S12" i="25"/>
  <c r="R12" i="25"/>
  <c r="R21" i="25"/>
  <c r="R10" i="24"/>
  <c r="W20" i="24"/>
  <c r="S20" i="24" s="1"/>
  <c r="R13" i="25"/>
  <c r="S16" i="25"/>
  <c r="AF9" i="24"/>
  <c r="S9" i="24"/>
  <c r="R23" i="25"/>
  <c r="R24" i="25"/>
  <c r="R7" i="25"/>
  <c r="AF7" i="25"/>
  <c r="R8" i="24"/>
  <c r="S7" i="25"/>
  <c r="R20" i="25"/>
  <c r="S8" i="25"/>
  <c r="R11" i="25"/>
  <c r="R27" i="25"/>
  <c r="S25" i="24"/>
  <c r="S14" i="24"/>
  <c r="R10" i="25"/>
  <c r="R18" i="25"/>
  <c r="S21" i="25"/>
  <c r="V19" i="25"/>
  <c r="S19" i="25" s="1"/>
  <c r="R19" i="25"/>
  <c r="S23" i="25"/>
  <c r="V10" i="25"/>
  <c r="S10" i="25" s="1"/>
  <c r="AF10" i="24"/>
  <c r="S18" i="25"/>
  <c r="S27" i="25"/>
  <c r="R24" i="24"/>
  <c r="W22" i="24"/>
  <c r="S22" i="24" s="1"/>
  <c r="S13" i="24"/>
  <c r="R9" i="24"/>
  <c r="R19" i="24"/>
  <c r="S16" i="24"/>
  <c r="S10" i="24"/>
  <c r="S17" i="24"/>
  <c r="S8" i="24"/>
  <c r="R16" i="24"/>
  <c r="R17" i="24"/>
  <c r="R18" i="24"/>
  <c r="S24" i="24"/>
  <c r="R21" i="24"/>
  <c r="R25" i="24"/>
  <c r="W19" i="24"/>
  <c r="S19" i="24" s="1"/>
  <c r="S11" i="24"/>
  <c r="S6" i="24"/>
  <c r="AF6" i="24"/>
  <c r="R12" i="24"/>
  <c r="W7" i="24"/>
  <c r="S7" i="24" s="1"/>
  <c r="R15" i="24"/>
  <c r="AF7" i="24"/>
  <c r="S18" i="24"/>
  <c r="R13" i="24"/>
  <c r="AF8" i="24"/>
  <c r="S21" i="24"/>
  <c r="S12" i="24"/>
  <c r="S15" i="24"/>
  <c r="C20" i="25" l="1"/>
  <c r="D20" i="25" s="1"/>
  <c r="C22" i="24"/>
  <c r="D22" i="24" s="1"/>
  <c r="C6" i="25"/>
  <c r="D6" i="25" s="1"/>
  <c r="C11" i="24"/>
  <c r="D11" i="24" s="1"/>
  <c r="C15" i="25"/>
  <c r="D15" i="25" s="1"/>
  <c r="C23" i="24"/>
  <c r="D23" i="24" s="1"/>
  <c r="C26" i="25"/>
  <c r="D26" i="25" s="1"/>
  <c r="C7" i="24"/>
  <c r="D7" i="24" s="1"/>
  <c r="C20" i="24"/>
  <c r="D20" i="24" s="1"/>
  <c r="C11" i="25"/>
  <c r="D11" i="25" s="1"/>
  <c r="C12" i="25"/>
  <c r="D12" i="25" s="1"/>
  <c r="C14" i="25"/>
  <c r="D14" i="25" s="1"/>
  <c r="C13" i="25"/>
  <c r="D13" i="25" s="1"/>
  <c r="C16" i="25"/>
  <c r="D16" i="25" s="1"/>
  <c r="C8" i="24"/>
  <c r="D8" i="24" s="1"/>
  <c r="C24" i="25"/>
  <c r="D24" i="25" s="1"/>
  <c r="C6" i="24"/>
  <c r="D6" i="24" s="1"/>
  <c r="C19" i="24"/>
  <c r="D19" i="24" s="1"/>
  <c r="C8" i="25"/>
  <c r="D8" i="25" s="1"/>
  <c r="C19" i="25"/>
  <c r="D19" i="25" s="1"/>
  <c r="C26" i="24"/>
  <c r="D26" i="24" s="1"/>
  <c r="C10" i="24"/>
  <c r="D10" i="24" s="1"/>
  <c r="C9" i="24"/>
  <c r="D9" i="24" s="1"/>
  <c r="C18" i="24"/>
  <c r="D18" i="24" s="1"/>
  <c r="C14" i="24"/>
  <c r="D14" i="24" s="1"/>
  <c r="C25" i="24"/>
  <c r="D25" i="24" s="1"/>
  <c r="C21" i="25"/>
  <c r="D21" i="25" s="1"/>
  <c r="C17" i="24"/>
  <c r="D17" i="24" s="1"/>
  <c r="C23" i="25"/>
  <c r="D23" i="25" s="1"/>
  <c r="C7" i="25"/>
  <c r="D7" i="25" s="1"/>
  <c r="C24" i="24"/>
  <c r="D24" i="24" s="1"/>
  <c r="C27" i="25"/>
  <c r="D27" i="25" s="1"/>
  <c r="C21" i="24"/>
  <c r="D21" i="24" s="1"/>
  <c r="C18" i="25"/>
  <c r="D18" i="25" s="1"/>
  <c r="C10" i="25"/>
  <c r="C16" i="24"/>
  <c r="D16" i="24" s="1"/>
  <c r="C13" i="24"/>
  <c r="D13" i="24" s="1"/>
  <c r="C15" i="24"/>
  <c r="D15" i="24" s="1"/>
  <c r="C12" i="24"/>
  <c r="D12" i="24" s="1"/>
  <c r="D10" i="25" l="1"/>
  <c r="AD16" i="25"/>
  <c r="AF16" i="25" s="1"/>
  <c r="AC21" i="24"/>
  <c r="AC22" i="24"/>
  <c r="AD16" i="24"/>
  <c r="AF16" i="24" s="1"/>
  <c r="AD27" i="24" l="1"/>
  <c r="AC21" i="25"/>
  <c r="AC22" i="25"/>
  <c r="AD26" i="24"/>
  <c r="AC25" i="24"/>
  <c r="AC27" i="24"/>
  <c r="AD25" i="24"/>
  <c r="AC26" i="24"/>
  <c r="AF17" i="24"/>
  <c r="AC27" i="25" l="1"/>
  <c r="AD27" i="25"/>
  <c r="AF17" i="25"/>
  <c r="AC26" i="25"/>
  <c r="AD26" i="25"/>
  <c r="AC25" i="25"/>
  <c r="AD25" i="25"/>
</calcChain>
</file>

<file path=xl/sharedStrings.xml><?xml version="1.0" encoding="utf-8"?>
<sst xmlns="http://schemas.openxmlformats.org/spreadsheetml/2006/main" count="478" uniqueCount="115">
  <si>
    <t>Nom</t>
  </si>
  <si>
    <t>Prénom</t>
  </si>
  <si>
    <t>Total</t>
  </si>
  <si>
    <t>OK ?</t>
  </si>
  <si>
    <t>-</t>
  </si>
  <si>
    <t>Colonne5</t>
  </si>
  <si>
    <t>Colonne6</t>
  </si>
  <si>
    <t>Colonne7</t>
  </si>
  <si>
    <t>Class1</t>
  </si>
  <si>
    <t>Class2</t>
  </si>
  <si>
    <t>Colonne1</t>
  </si>
  <si>
    <t>Colonne2</t>
  </si>
  <si>
    <t>Colonne3</t>
  </si>
  <si>
    <t>Colonne4</t>
  </si>
  <si>
    <t>max</t>
  </si>
  <si>
    <t>min</t>
  </si>
  <si>
    <t>Écart-type</t>
  </si>
  <si>
    <t>Moyenne</t>
  </si>
  <si>
    <t>Points bulletin</t>
  </si>
  <si>
    <t>Taux de réussite à grande échelle</t>
  </si>
  <si>
    <t>Global</t>
  </si>
  <si>
    <t>#10</t>
  </si>
  <si>
    <t>#9</t>
  </si>
  <si>
    <t>#8</t>
  </si>
  <si>
    <t>#7</t>
  </si>
  <si>
    <t>#6</t>
  </si>
  <si>
    <t>#5</t>
  </si>
  <si>
    <t>#4</t>
  </si>
  <si>
    <t>#3</t>
  </si>
  <si>
    <t>#2</t>
  </si>
  <si>
    <t>#1</t>
  </si>
  <si>
    <t xml:space="preserve">        </t>
  </si>
  <si>
    <t xml:space="preserve">       </t>
  </si>
  <si>
    <t xml:space="preserve">      </t>
  </si>
  <si>
    <t xml:space="preserve">     </t>
  </si>
  <si>
    <t xml:space="preserve">    </t>
  </si>
  <si>
    <t xml:space="preserve">   </t>
  </si>
  <si>
    <t>23</t>
  </si>
  <si>
    <t>11</t>
  </si>
  <si>
    <t>12</t>
  </si>
  <si>
    <t>22</t>
  </si>
  <si>
    <t>21</t>
  </si>
  <si>
    <t>/20</t>
  </si>
  <si>
    <t xml:space="preserve"> </t>
  </si>
  <si>
    <t xml:space="preserve">  </t>
  </si>
  <si>
    <t>Taux de réussite</t>
  </si>
  <si>
    <t>Présents</t>
  </si>
  <si>
    <t>Échec</t>
  </si>
  <si>
    <t>UAA ?</t>
  </si>
  <si>
    <t>Interro</t>
  </si>
  <si>
    <t>Statistiques</t>
  </si>
  <si>
    <t>date</t>
  </si>
  <si>
    <t xml:space="preserve">UAA = </t>
  </si>
  <si>
    <t>Points non UAA totaux</t>
  </si>
  <si>
    <t>Points non UAA</t>
  </si>
  <si>
    <t>Points UAA totaux</t>
  </si>
  <si>
    <t>Points UAA</t>
  </si>
  <si>
    <t>% Non UAA</t>
  </si>
  <si>
    <t>% UAA</t>
  </si>
  <si>
    <t>Test 5</t>
  </si>
  <si>
    <t>UAA 0 - Test 4</t>
  </si>
  <si>
    <t>UAA 5 - Test 3</t>
  </si>
  <si>
    <t>Test 2</t>
  </si>
  <si>
    <t>Test 1</t>
  </si>
  <si>
    <t>Titre</t>
  </si>
  <si>
    <t xml:space="preserve">    2</t>
  </si>
  <si>
    <t xml:space="preserve">   2</t>
  </si>
  <si>
    <t>Test 3</t>
  </si>
  <si>
    <t>UAA 1 - Test 2</t>
  </si>
  <si>
    <t>Nom1</t>
  </si>
  <si>
    <t>Prénom1</t>
  </si>
  <si>
    <t>Nom2</t>
  </si>
  <si>
    <t>Prénom2</t>
  </si>
  <si>
    <t>Nom3</t>
  </si>
  <si>
    <t>Prénom3</t>
  </si>
  <si>
    <t>Nom4</t>
  </si>
  <si>
    <t>Prénom4</t>
  </si>
  <si>
    <t>Nom5</t>
  </si>
  <si>
    <t>Prénom5</t>
  </si>
  <si>
    <t>Nom6</t>
  </si>
  <si>
    <t>Prénom6</t>
  </si>
  <si>
    <t>Nom7</t>
  </si>
  <si>
    <t>Prénom7</t>
  </si>
  <si>
    <t>Nom8</t>
  </si>
  <si>
    <t>Prénom8</t>
  </si>
  <si>
    <t>Nom9</t>
  </si>
  <si>
    <t>Prénom9</t>
  </si>
  <si>
    <t>Nom10</t>
  </si>
  <si>
    <t>Prénom10</t>
  </si>
  <si>
    <t>Nom11</t>
  </si>
  <si>
    <t>Prénom11</t>
  </si>
  <si>
    <t>Nom12</t>
  </si>
  <si>
    <t>Prénom12</t>
  </si>
  <si>
    <t>Nom13</t>
  </si>
  <si>
    <t>Prénom13</t>
  </si>
  <si>
    <t>Nom14</t>
  </si>
  <si>
    <t>Prénom14</t>
  </si>
  <si>
    <t>Nom15</t>
  </si>
  <si>
    <t>Prénom15</t>
  </si>
  <si>
    <t>Nom16</t>
  </si>
  <si>
    <t>Prénom16</t>
  </si>
  <si>
    <t>Nom17</t>
  </si>
  <si>
    <t>Prénom17</t>
  </si>
  <si>
    <t>Nom18</t>
  </si>
  <si>
    <t>Prénom18</t>
  </si>
  <si>
    <t>Nom19</t>
  </si>
  <si>
    <t>Prénom19</t>
  </si>
  <si>
    <t>Nom20</t>
  </si>
  <si>
    <t>Prénom20</t>
  </si>
  <si>
    <t>Nom21</t>
  </si>
  <si>
    <t>Prénom21</t>
  </si>
  <si>
    <t>Nom22</t>
  </si>
  <si>
    <t>Prénom22</t>
  </si>
  <si>
    <t>Nom23</t>
  </si>
  <si>
    <t>Prénom23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</si>
</sst>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dd/mm"/>
  </numFmts>
  <fonts count="11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/>
    <xf numFmtId="9" fontId="0" fillId="0" borderId="0" xfId="1" applyFont="1"/>
    <xf numFmtId="0" fontId="0" fillId="0" borderId="0" xfId="0" applyAlignment="1">
      <alignment wrapText="1"/>
    </xf>
    <xf numFmtId="165" fontId="0" fillId="2" borderId="1" xfId="0" applyNumberFormat="1" applyFill="1" applyBorder="1"/>
    <xf numFmtId="165" fontId="0" fillId="2" borderId="2" xfId="0" applyNumberFormat="1" applyFill="1" applyBorder="1"/>
    <xf numFmtId="165" fontId="0" fillId="3" borderId="5" xfId="0" applyNumberFormat="1" applyFill="1" applyBorder="1"/>
    <xf numFmtId="165" fontId="0" fillId="3" borderId="6" xfId="0" applyNumberFormat="1" applyFill="1" applyBorder="1"/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0" fillId="0" borderId="13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0" fillId="3" borderId="7" xfId="0" applyNumberFormat="1" applyFill="1" applyBorder="1" applyAlignment="1">
      <alignment horizontal="center" vertical="center"/>
    </xf>
    <xf numFmtId="9" fontId="0" fillId="3" borderId="13" xfId="1" applyFont="1" applyFill="1" applyBorder="1" applyAlignment="1">
      <alignment horizontal="center" vertical="center"/>
    </xf>
    <xf numFmtId="0" fontId="0" fillId="4" borderId="15" xfId="0" applyFill="1" applyBorder="1"/>
    <xf numFmtId="0" fontId="0" fillId="4" borderId="16" xfId="0" applyFill="1" applyBorder="1"/>
    <xf numFmtId="0" fontId="0" fillId="0" borderId="19" xfId="0" applyBorder="1" applyAlignment="1">
      <alignment horizontal="center" vertical="center"/>
    </xf>
    <xf numFmtId="164" fontId="3" fillId="3" borderId="7" xfId="1" applyNumberFormat="1" applyFont="1" applyFill="1" applyBorder="1" applyAlignment="1">
      <alignment horizontal="center" vertical="center"/>
    </xf>
    <xf numFmtId="9" fontId="3" fillId="3" borderId="13" xfId="1" applyFont="1" applyFill="1" applyBorder="1" applyAlignment="1">
      <alignment horizontal="center" vertical="center"/>
    </xf>
    <xf numFmtId="165" fontId="0" fillId="0" borderId="0" xfId="0" applyNumberFormat="1"/>
    <xf numFmtId="0" fontId="0" fillId="3" borderId="1" xfId="0" applyFill="1" applyBorder="1"/>
    <xf numFmtId="164" fontId="0" fillId="0" borderId="6" xfId="0" applyNumberFormat="1" applyBorder="1" applyAlignment="1">
      <alignment horizontal="center" vertical="center"/>
    </xf>
    <xf numFmtId="9" fontId="0" fillId="3" borderId="15" xfId="1" applyFont="1" applyFill="1" applyBorder="1" applyAlignment="1">
      <alignment vertical="center"/>
    </xf>
    <xf numFmtId="0" fontId="0" fillId="3" borderId="16" xfId="0" applyFill="1" applyBorder="1"/>
    <xf numFmtId="9" fontId="0" fillId="0" borderId="0" xfId="1" applyFont="1" applyFill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horizontal="center" vertical="center"/>
    </xf>
    <xf numFmtId="166" fontId="5" fillId="0" borderId="30" xfId="0" applyNumberFormat="1" applyFont="1" applyBorder="1" applyAlignment="1">
      <alignment horizontal="center" vertical="center"/>
    </xf>
    <xf numFmtId="166" fontId="5" fillId="0" borderId="31" xfId="0" applyNumberFormat="1" applyFont="1" applyBorder="1" applyAlignment="1">
      <alignment horizontal="center" vertical="center"/>
    </xf>
    <xf numFmtId="166" fontId="5" fillId="0" borderId="32" xfId="0" applyNumberFormat="1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5" fillId="0" borderId="33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37" xfId="0" applyFont="1" applyBorder="1" applyAlignment="1">
      <alignment vertical="center" textRotation="90"/>
    </xf>
    <xf numFmtId="166" fontId="5" fillId="0" borderId="41" xfId="0" applyNumberFormat="1" applyFont="1" applyBorder="1" applyAlignment="1">
      <alignment horizontal="center" vertical="center" wrapText="1"/>
    </xf>
    <xf numFmtId="166" fontId="5" fillId="0" borderId="6" xfId="0" applyNumberFormat="1" applyFont="1" applyBorder="1" applyAlignment="1">
      <alignment horizontal="center" vertical="center" wrapText="1"/>
    </xf>
    <xf numFmtId="166" fontId="5" fillId="0" borderId="6" xfId="0" applyNumberFormat="1" applyFont="1" applyBorder="1" applyAlignment="1">
      <alignment vertical="center" wrapText="1"/>
    </xf>
    <xf numFmtId="166" fontId="7" fillId="0" borderId="37" xfId="0" applyNumberFormat="1" applyFont="1" applyBorder="1" applyAlignment="1">
      <alignment horizontal="center" vertical="center" textRotation="90"/>
    </xf>
    <xf numFmtId="0" fontId="0" fillId="0" borderId="0" xfId="0" applyAlignment="1">
      <alignment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6" xfId="0" applyBorder="1" applyAlignment="1">
      <alignment horizontal="center" vertical="center" textRotation="90" wrapText="1"/>
    </xf>
    <xf numFmtId="166" fontId="7" fillId="0" borderId="49" xfId="0" applyNumberFormat="1" applyFont="1" applyBorder="1" applyAlignment="1">
      <alignment horizontal="center" vertical="center" textRotation="90"/>
    </xf>
    <xf numFmtId="0" fontId="0" fillId="0" borderId="53" xfId="0" applyBorder="1" applyAlignment="1">
      <alignment vertical="center"/>
    </xf>
    <xf numFmtId="164" fontId="0" fillId="3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 textRotation="90" wrapText="1"/>
    </xf>
    <xf numFmtId="166" fontId="4" fillId="0" borderId="46" xfId="0" applyNumberFormat="1" applyFont="1" applyBorder="1" applyAlignment="1">
      <alignment horizontal="center" textRotation="90"/>
    </xf>
    <xf numFmtId="166" fontId="4" fillId="0" borderId="36" xfId="0" applyNumberFormat="1" applyFont="1" applyBorder="1" applyAlignment="1">
      <alignment horizontal="center" textRotation="90"/>
    </xf>
    <xf numFmtId="0" fontId="8" fillId="0" borderId="52" xfId="0" quotePrefix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6" fontId="4" fillId="0" borderId="48" xfId="0" applyNumberFormat="1" applyFont="1" applyBorder="1" applyAlignment="1">
      <alignment horizontal="center" textRotation="90"/>
    </xf>
    <xf numFmtId="166" fontId="4" fillId="0" borderId="31" xfId="0" applyNumberFormat="1" applyFont="1" applyBorder="1" applyAlignment="1">
      <alignment horizontal="center" textRotation="90"/>
    </xf>
    <xf numFmtId="166" fontId="4" fillId="0" borderId="10" xfId="0" applyNumberFormat="1" applyFont="1" applyBorder="1" applyAlignment="1">
      <alignment horizontal="center" textRotation="90"/>
    </xf>
    <xf numFmtId="166" fontId="4" fillId="0" borderId="47" xfId="0" applyNumberFormat="1" applyFont="1" applyBorder="1" applyAlignment="1">
      <alignment horizontal="center" textRotation="90"/>
    </xf>
    <xf numFmtId="166" fontId="4" fillId="0" borderId="40" xfId="0" applyNumberFormat="1" applyFont="1" applyBorder="1" applyAlignment="1">
      <alignment horizontal="center" textRotation="90"/>
    </xf>
    <xf numFmtId="166" fontId="4" fillId="0" borderId="32" xfId="0" applyNumberFormat="1" applyFont="1" applyBorder="1" applyAlignment="1">
      <alignment horizontal="center" textRotation="90"/>
    </xf>
    <xf numFmtId="166" fontId="4" fillId="0" borderId="45" xfId="0" applyNumberFormat="1" applyFont="1" applyBorder="1" applyAlignment="1">
      <alignment horizontal="center" textRotation="90"/>
    </xf>
    <xf numFmtId="166" fontId="4" fillId="0" borderId="35" xfId="0" applyNumberFormat="1" applyFont="1" applyBorder="1" applyAlignment="1">
      <alignment horizontal="center" textRotation="90"/>
    </xf>
    <xf numFmtId="0" fontId="6" fillId="0" borderId="44" xfId="0" applyFont="1" applyBorder="1" applyAlignment="1">
      <alignment horizontal="right" vertical="center"/>
    </xf>
    <xf numFmtId="0" fontId="6" fillId="0" borderId="43" xfId="0" applyFont="1" applyBorder="1" applyAlignment="1">
      <alignment horizontal="right" vertical="center"/>
    </xf>
    <xf numFmtId="9" fontId="6" fillId="0" borderId="43" xfId="1" applyFont="1" applyBorder="1" applyAlignment="1">
      <alignment horizontal="left" vertical="center"/>
    </xf>
    <xf numFmtId="9" fontId="6" fillId="0" borderId="42" xfId="1" applyFont="1" applyBorder="1" applyAlignment="1">
      <alignment horizontal="left" vertical="center"/>
    </xf>
    <xf numFmtId="0" fontId="9" fillId="0" borderId="3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9" fontId="0" fillId="4" borderId="18" xfId="0" applyNumberFormat="1" applyFill="1" applyBorder="1" applyAlignment="1">
      <alignment horizontal="center"/>
    </xf>
    <xf numFmtId="9" fontId="0" fillId="4" borderId="17" xfId="0" applyNumberForma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0" fillId="3" borderId="7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9" fontId="0" fillId="2" borderId="4" xfId="0" applyNumberFormat="1" applyFill="1" applyBorder="1" applyAlignment="1">
      <alignment horizontal="center"/>
    </xf>
    <xf numFmtId="9" fontId="0" fillId="2" borderId="3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9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</cellXfs>
  <cellStyles count="2">
    <cellStyle name="Normal" xfId="0" builtinId="0"/>
    <cellStyle name="Pourcentage" xfId="1" builtinId="5"/>
  </cellStyles>
  <dxfs count="118"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 style="thick">
          <color indexed="64"/>
        </left>
        <top/>
        <bottom/>
        <horizontal/>
      </border>
    </dxf>
    <dxf>
      <numFmt numFmtId="0" formatCode="General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  <i val="0"/>
        <u/>
        <color rgb="FF00B0F0"/>
      </font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  <dxf>
      <font>
        <b/>
        <i val="0"/>
        <u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ill>
        <patternFill>
          <bgColor rgb="FF00B0F0"/>
        </patternFill>
      </fill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</font>
    </dxf>
    <dxf>
      <font>
        <b/>
        <i val="0"/>
        <u/>
        <color auto="1"/>
      </font>
      <fill>
        <patternFill>
          <bgColor rgb="FFFF0000"/>
        </patternFill>
      </fill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 style="thick">
          <color indexed="64"/>
        </left>
        <top/>
        <bottom/>
        <horizontal/>
      </border>
    </dxf>
    <dxf>
      <numFmt numFmtId="0" formatCode="General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  <i val="0"/>
        <u/>
        <color rgb="FF00B0F0"/>
      </font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  <dxf>
      <font>
        <b/>
        <i val="0"/>
        <u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ont>
        <b/>
        <i val="0"/>
        <u/>
        <color rgb="FF00B0F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</font>
    </dxf>
    <dxf>
      <font>
        <b/>
        <i val="0"/>
        <u/>
        <color auto="1"/>
      </font>
      <fill>
        <patternFill>
          <bgColor rgb="FFFF0000"/>
        </patternFill>
      </fill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17/10/relationships/person" Target="persons/person15.xml"/><Relationship Id="rId21" Type="http://schemas.microsoft.com/office/2017/10/relationships/person" Target="persons/person11.xml"/><Relationship Id="rId42" Type="http://schemas.microsoft.com/office/2017/10/relationships/person" Target="persons/person32.xml"/><Relationship Id="rId47" Type="http://schemas.microsoft.com/office/2017/10/relationships/person" Target="persons/person36.xml"/><Relationship Id="rId63" Type="http://schemas.microsoft.com/office/2017/10/relationships/person" Target="persons/person52.xml"/><Relationship Id="rId68" Type="http://schemas.microsoft.com/office/2017/10/relationships/person" Target="persons/person57.xml"/><Relationship Id="rId34" Type="http://schemas.microsoft.com/office/2017/10/relationships/person" Target="persons/person24.xml"/><Relationship Id="rId50" Type="http://schemas.microsoft.com/office/2017/10/relationships/person" Target="persons/person39.xml"/><Relationship Id="rId55" Type="http://schemas.microsoft.com/office/2017/10/relationships/person" Target="persons/person4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5.xml"/><Relationship Id="rId29" Type="http://schemas.microsoft.com/office/2017/10/relationships/person" Target="persons/person19.xml"/><Relationship Id="rId11" Type="http://schemas.microsoft.com/office/2017/10/relationships/person" Target="persons/person0.xml"/><Relationship Id="rId24" Type="http://schemas.microsoft.com/office/2017/10/relationships/person" Target="persons/person13.xml"/><Relationship Id="rId32" Type="http://schemas.microsoft.com/office/2017/10/relationships/person" Target="persons/person22.xml"/><Relationship Id="rId37" Type="http://schemas.microsoft.com/office/2017/10/relationships/person" Target="persons/person27.xml"/><Relationship Id="rId40" Type="http://schemas.microsoft.com/office/2017/10/relationships/person" Target="persons/person30.xml"/><Relationship Id="rId45" Type="http://schemas.microsoft.com/office/2017/10/relationships/person" Target="persons/person35.xml"/><Relationship Id="rId53" Type="http://schemas.microsoft.com/office/2017/10/relationships/person" Target="persons/person42.xml"/><Relationship Id="rId58" Type="http://schemas.microsoft.com/office/2017/10/relationships/person" Target="persons/person45.xml"/><Relationship Id="rId66" Type="http://schemas.microsoft.com/office/2017/10/relationships/person" Target="persons/person55.xml"/><Relationship Id="rId5" Type="http://schemas.openxmlformats.org/officeDocument/2006/relationships/styles" Target="styles.xml"/><Relationship Id="rId61" Type="http://schemas.microsoft.com/office/2017/10/relationships/person" Target="persons/person48.xml"/><Relationship Id="rId19" Type="http://schemas.microsoft.com/office/2017/10/relationships/person" Target="persons/person9.xml"/><Relationship Id="rId56" Type="http://schemas.microsoft.com/office/2017/10/relationships/person" Target="persons/person47.xml"/><Relationship Id="rId48" Type="http://schemas.microsoft.com/office/2017/10/relationships/person" Target="persons/person23.xml"/><Relationship Id="rId30" Type="http://schemas.microsoft.com/office/2017/10/relationships/person" Target="persons/person20.xml"/><Relationship Id="rId27" Type="http://schemas.microsoft.com/office/2017/10/relationships/person" Target="persons/person18.xml"/><Relationship Id="rId22" Type="http://schemas.microsoft.com/office/2017/10/relationships/person" Target="persons/person10.xml"/><Relationship Id="rId14" Type="http://schemas.microsoft.com/office/2017/10/relationships/person" Target="persons/person4.xml"/><Relationship Id="rId35" Type="http://schemas.microsoft.com/office/2017/10/relationships/person" Target="persons/person25.xml"/><Relationship Id="rId43" Type="http://schemas.microsoft.com/office/2017/10/relationships/person" Target="persons/person33.xml"/><Relationship Id="rId64" Type="http://schemas.microsoft.com/office/2017/10/relationships/person" Target="persons/person53.xml"/><Relationship Id="rId69" Type="http://schemas.microsoft.com/office/2017/10/relationships/person" Target="persons/person58.xml"/><Relationship Id="rId8" Type="http://schemas.microsoft.com/office/2006/relationships/vbaProject" Target="vbaProject.bin"/><Relationship Id="rId51" Type="http://schemas.microsoft.com/office/2017/10/relationships/person" Target="persons/person41.xml"/><Relationship Id="rId3" Type="http://schemas.openxmlformats.org/officeDocument/2006/relationships/worksheet" Target="worksheets/sheet3.xml"/><Relationship Id="rId59" Type="http://schemas.microsoft.com/office/2017/10/relationships/person" Target="persons/person50.xml"/><Relationship Id="rId46" Type="http://schemas.microsoft.com/office/2017/10/relationships/person" Target="persons/person37.xml"/><Relationship Id="rId12" Type="http://schemas.microsoft.com/office/2017/10/relationships/person" Target="persons/person1.xml"/><Relationship Id="rId17" Type="http://schemas.microsoft.com/office/2017/10/relationships/person" Target="persons/person6.xml"/><Relationship Id="rId25" Type="http://schemas.microsoft.com/office/2017/10/relationships/person" Target="persons/person14.xml"/><Relationship Id="rId33" Type="http://schemas.microsoft.com/office/2017/10/relationships/person" Target="persons/person21.xml"/><Relationship Id="rId38" Type="http://schemas.microsoft.com/office/2017/10/relationships/person" Target="persons/person28.xml"/><Relationship Id="rId67" Type="http://schemas.microsoft.com/office/2017/10/relationships/person" Target="persons/person56.xml"/><Relationship Id="rId54" Type="http://schemas.microsoft.com/office/2017/10/relationships/person" Target="persons/person44.xml"/><Relationship Id="rId20" Type="http://schemas.microsoft.com/office/2017/10/relationships/person" Target="persons/person8.xml"/><Relationship Id="rId41" Type="http://schemas.microsoft.com/office/2017/10/relationships/person" Target="persons/person31.xml"/><Relationship Id="rId62" Type="http://schemas.microsoft.com/office/2017/10/relationships/person" Target="persons/person51.xml"/><Relationship Id="rId7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7" Type="http://schemas.microsoft.com/office/2017/10/relationships/person" Target="persons/person46.xml"/><Relationship Id="rId15" Type="http://schemas.microsoft.com/office/2017/10/relationships/person" Target="persons/person3.xml"/><Relationship Id="rId23" Type="http://schemas.microsoft.com/office/2017/10/relationships/person" Target="persons/person12.xml"/><Relationship Id="rId28" Type="http://schemas.microsoft.com/office/2017/10/relationships/person" Target="persons/person16.xml"/><Relationship Id="rId36" Type="http://schemas.microsoft.com/office/2017/10/relationships/person" Target="persons/person26.xml"/><Relationship Id="rId49" Type="http://schemas.microsoft.com/office/2017/10/relationships/person" Target="persons/person38.xml"/><Relationship Id="rId60" Type="http://schemas.microsoft.com/office/2017/10/relationships/person" Target="persons/person49.xml"/><Relationship Id="rId31" Type="http://schemas.microsoft.com/office/2017/10/relationships/person" Target="persons/person17.xml"/><Relationship Id="rId44" Type="http://schemas.microsoft.com/office/2017/10/relationships/person" Target="persons/person34.xml"/><Relationship Id="rId52" Type="http://schemas.microsoft.com/office/2017/10/relationships/person" Target="persons/person40.xml"/><Relationship Id="rId65" Type="http://schemas.microsoft.com/office/2017/10/relationships/person" Target="persons/person54.xml"/><Relationship Id="rId4" Type="http://schemas.openxmlformats.org/officeDocument/2006/relationships/theme" Target="theme/theme1.xml"/><Relationship Id="rId13" Type="http://schemas.microsoft.com/office/2017/10/relationships/person" Target="persons/person2.xml"/><Relationship Id="rId18" Type="http://schemas.microsoft.com/office/2017/10/relationships/person" Target="persons/person7.xml"/><Relationship Id="rId39" Type="http://schemas.microsoft.com/office/2017/10/relationships/person" Target="persons/person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 sz="2000" b="1"/>
              <a:t>Résultats</a:t>
            </a:r>
            <a:r>
              <a:rPr lang="fr-BE" sz="2000" b="1" baseline="0"/>
              <a:t> de l'année</a:t>
            </a:r>
            <a:endParaRPr lang="fr-B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Notes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Class1!$B$6:$B$26</c:f>
              <c:numCache>
                <c:formatCode>General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Class1!$C$6:$C$26</c:f>
              <c:numCache>
                <c:formatCode>0%</c:formatCode>
                <c:ptCount val="21"/>
                <c:pt idx="0">
                  <c:v>0.40450980392156866</c:v>
                </c:pt>
                <c:pt idx="1">
                  <c:v>0.61823529411764699</c:v>
                </c:pt>
                <c:pt idx="2">
                  <c:v>0.50431372549019604</c:v>
                </c:pt>
                <c:pt idx="3">
                  <c:v>0.61117647058823521</c:v>
                </c:pt>
                <c:pt idx="4">
                  <c:v>0.60882352941176476</c:v>
                </c:pt>
                <c:pt idx="5">
                  <c:v>0.61098039215686273</c:v>
                </c:pt>
                <c:pt idx="6">
                  <c:v>0.57333333333333325</c:v>
                </c:pt>
                <c:pt idx="7">
                  <c:v>0.88176470588235301</c:v>
                </c:pt>
                <c:pt idx="8">
                  <c:v>0.81313725490196087</c:v>
                </c:pt>
                <c:pt idx="9">
                  <c:v>0.46058823529411763</c:v>
                </c:pt>
                <c:pt idx="10">
                  <c:v>0.77000000000000013</c:v>
                </c:pt>
                <c:pt idx="11">
                  <c:v>0.67039215686274511</c:v>
                </c:pt>
                <c:pt idx="12">
                  <c:v>0.47823529411764709</c:v>
                </c:pt>
                <c:pt idx="13">
                  <c:v>0.65705882352941181</c:v>
                </c:pt>
                <c:pt idx="14">
                  <c:v>0.77725490196078428</c:v>
                </c:pt>
                <c:pt idx="15">
                  <c:v>0.4864705882352941</c:v>
                </c:pt>
                <c:pt idx="16">
                  <c:v>0.74294117647058822</c:v>
                </c:pt>
                <c:pt idx="17">
                  <c:v>0.64490196078431361</c:v>
                </c:pt>
                <c:pt idx="18">
                  <c:v>0.53803921568627455</c:v>
                </c:pt>
                <c:pt idx="19">
                  <c:v>0.68588235294117639</c:v>
                </c:pt>
                <c:pt idx="20">
                  <c:v>0.54352941176470593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7C-4958-B817-BE2DE358C28D}"/>
            </c:ext>
          </c:extLst>
        </c:ser>
        <c:ser>
          <c:idx val="1"/>
          <c:order val="1"/>
          <c:tx>
            <c:v>90%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(Class1!$AC$25,Class1!$AC$25)</c:f>
              <c:numCache>
                <c:formatCode>General</c:formatCode>
                <c:ptCount val="2"/>
                <c:pt idx="0">
                  <c:v>0.41185250272933127</c:v>
                </c:pt>
                <c:pt idx="1">
                  <c:v>0.41185250272933127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7C-4958-B817-BE2DE358C28D}"/>
            </c:ext>
          </c:extLst>
        </c:ser>
        <c:ser>
          <c:idx val="2"/>
          <c:order val="2"/>
          <c:tx>
            <c:v>90%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7C-4958-B817-BE2DE358C2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(Class1!$AD$25,Class1!$AD$25)</c:f>
              <c:numCache>
                <c:formatCode>General</c:formatCode>
                <c:ptCount val="2"/>
                <c:pt idx="0">
                  <c:v>0.83100464012781161</c:v>
                </c:pt>
                <c:pt idx="1">
                  <c:v>0.83100464012781161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7C-4958-B817-BE2DE358C28D}"/>
            </c:ext>
          </c:extLst>
        </c:ser>
        <c:ser>
          <c:idx val="3"/>
          <c:order val="3"/>
          <c:tx>
            <c:v>95%</c:v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(Class1!$AD$26,Class1!$AD$26)</c:f>
              <c:numCache>
                <c:formatCode>0.0%</c:formatCode>
                <c:ptCount val="2"/>
                <c:pt idx="0">
                  <c:v>0.87189753158132188</c:v>
                </c:pt>
                <c:pt idx="1">
                  <c:v>0.87189753158132188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7C-4958-B817-BE2DE358C28D}"/>
            </c:ext>
          </c:extLst>
        </c:ser>
        <c:ser>
          <c:idx val="4"/>
          <c:order val="4"/>
          <c:tx>
            <c:v>95%</c:v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(Class1!$AC$26,Class1!$AC$26)</c:f>
              <c:numCache>
                <c:formatCode>0.0%</c:formatCode>
                <c:ptCount val="2"/>
                <c:pt idx="0">
                  <c:v>0.370959611275821</c:v>
                </c:pt>
                <c:pt idx="1">
                  <c:v>0.370959611275821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7C-4958-B817-BE2DE358C28D}"/>
            </c:ext>
          </c:extLst>
        </c:ser>
        <c:ser>
          <c:idx val="5"/>
          <c:order val="5"/>
          <c:tx>
            <c:v>99%</c:v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(Class1!$AC$27,Class1!$AC$27)</c:f>
              <c:numCache>
                <c:formatCode>0.0%</c:formatCode>
                <c:ptCount val="2"/>
                <c:pt idx="0">
                  <c:v>0.29172963408464481</c:v>
                </c:pt>
                <c:pt idx="1">
                  <c:v>0.29172963408464481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7C-4958-B817-BE2DE358C28D}"/>
            </c:ext>
          </c:extLst>
        </c:ser>
        <c:ser>
          <c:idx val="6"/>
          <c:order val="6"/>
          <c:tx>
            <c:v>99%</c:v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(Class1!$AD$27,Class1!$AD$27)</c:f>
              <c:numCache>
                <c:formatCode>0.0%</c:formatCode>
                <c:ptCount val="2"/>
                <c:pt idx="0">
                  <c:v>0.95112750877249808</c:v>
                </c:pt>
                <c:pt idx="1">
                  <c:v>0.95112750877249808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7C-4958-B817-BE2DE358C28D}"/>
            </c:ext>
          </c:extLst>
        </c:ser>
        <c:ser>
          <c:idx val="7"/>
          <c:order val="7"/>
          <c:tx>
            <c:v>50%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F47C-4958-B817-BE2DE358C28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46545240"/>
        <c:axId val="546545568"/>
      </c:scatterChart>
      <c:valAx>
        <c:axId val="546545240"/>
        <c:scaling>
          <c:orientation val="minMax"/>
          <c:max val="24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568"/>
        <c:crosses val="autoZero"/>
        <c:crossBetween val="midCat"/>
      </c:valAx>
      <c:valAx>
        <c:axId val="546545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 sz="2000" b="1"/>
              <a:t>Résultats</a:t>
            </a:r>
            <a:r>
              <a:rPr lang="fr-BE" sz="2000" b="1" baseline="0"/>
              <a:t> de l'année</a:t>
            </a:r>
            <a:endParaRPr lang="fr-B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Notes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Class2!$B$6:$B$28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10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Class2!$C$6:$C$28</c:f>
              <c:numCache>
                <c:formatCode>0%</c:formatCode>
                <c:ptCount val="23"/>
                <c:pt idx="0">
                  <c:v>0.71</c:v>
                </c:pt>
                <c:pt idx="1">
                  <c:v>0.58699999999999997</c:v>
                </c:pt>
                <c:pt idx="2">
                  <c:v>0.74</c:v>
                </c:pt>
                <c:pt idx="3">
                  <c:v>0.94799999999999995</c:v>
                </c:pt>
                <c:pt idx="4">
                  <c:v>0.68599999999999994</c:v>
                </c:pt>
                <c:pt idx="5">
                  <c:v>0.67500000000000004</c:v>
                </c:pt>
                <c:pt idx="6">
                  <c:v>0.439</c:v>
                </c:pt>
                <c:pt idx="7">
                  <c:v>0.84399999999999997</c:v>
                </c:pt>
                <c:pt idx="8">
                  <c:v>0.6409999999999999</c:v>
                </c:pt>
                <c:pt idx="9">
                  <c:v>0.33800000000000002</c:v>
                </c:pt>
                <c:pt idx="10">
                  <c:v>0.89000000000000012</c:v>
                </c:pt>
                <c:pt idx="11">
                  <c:v>0.54500000000000004</c:v>
                </c:pt>
                <c:pt idx="12">
                  <c:v>0.64500000000000002</c:v>
                </c:pt>
                <c:pt idx="13">
                  <c:v>0.92399999999999993</c:v>
                </c:pt>
                <c:pt idx="14">
                  <c:v>0.64</c:v>
                </c:pt>
                <c:pt idx="15">
                  <c:v>0.6409999999999999</c:v>
                </c:pt>
                <c:pt idx="16">
                  <c:v>0.81899999999999995</c:v>
                </c:pt>
                <c:pt idx="17">
                  <c:v>0.80099999999999993</c:v>
                </c:pt>
                <c:pt idx="18">
                  <c:v>0.63200000000000001</c:v>
                </c:pt>
                <c:pt idx="19">
                  <c:v>0.60899999999999999</c:v>
                </c:pt>
                <c:pt idx="20">
                  <c:v>0.61699999999999999</c:v>
                </c:pt>
                <c:pt idx="21">
                  <c:v>0.6419999999999999</c:v>
                </c:pt>
                <c:pt idx="22">
                  <c:v>0.52900000000000003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0-4F5E-9B08-100B9CBE8F38}"/>
            </c:ext>
          </c:extLst>
        </c:ser>
        <c:ser>
          <c:idx val="1"/>
          <c:order val="1"/>
          <c:tx>
            <c:v>90%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(Class2!$AC$25,Class2!$AC$25)</c:f>
              <c:numCache>
                <c:formatCode>General</c:formatCode>
                <c:ptCount val="2"/>
                <c:pt idx="0">
                  <c:v>0.43630988440338941</c:v>
                </c:pt>
                <c:pt idx="1">
                  <c:v>0.43630988440338941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0-4F5E-9B08-100B9CBE8F38}"/>
            </c:ext>
          </c:extLst>
        </c:ser>
        <c:ser>
          <c:idx val="2"/>
          <c:order val="2"/>
          <c:tx>
            <c:v>90%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60-4F5E-9B08-100B9CBE8F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(Class2!$AD$25,Class2!$AD$25)</c:f>
              <c:numCache>
                <c:formatCode>General</c:formatCode>
                <c:ptCount val="2"/>
                <c:pt idx="0">
                  <c:v>0.92021185472704525</c:v>
                </c:pt>
                <c:pt idx="1">
                  <c:v>0.92021185472704525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60-4F5E-9B08-100B9CBE8F38}"/>
            </c:ext>
          </c:extLst>
        </c:ser>
        <c:ser>
          <c:idx val="3"/>
          <c:order val="3"/>
          <c:tx>
            <c:v>95%</c:v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(Class2!$AD$26,Class2!$AD$26)</c:f>
              <c:numCache>
                <c:formatCode>0.0%</c:formatCode>
                <c:ptCount val="2"/>
                <c:pt idx="0">
                  <c:v>0.96742180305130443</c:v>
                </c:pt>
                <c:pt idx="1">
                  <c:v>0.96742180305130443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60-4F5E-9B08-100B9CBE8F38}"/>
            </c:ext>
          </c:extLst>
        </c:ser>
        <c:ser>
          <c:idx val="4"/>
          <c:order val="4"/>
          <c:tx>
            <c:v>95%</c:v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(Class2!$AC$26,Class2!$AC$26)</c:f>
              <c:numCache>
                <c:formatCode>0.0%</c:formatCode>
                <c:ptCount val="2"/>
                <c:pt idx="0">
                  <c:v>0.38909993607913029</c:v>
                </c:pt>
                <c:pt idx="1">
                  <c:v>0.38909993607913029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60-4F5E-9B08-100B9CBE8F38}"/>
            </c:ext>
          </c:extLst>
        </c:ser>
        <c:ser>
          <c:idx val="5"/>
          <c:order val="5"/>
          <c:tx>
            <c:v>99%</c:v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(Class2!$AC$27,Class2!$AC$27)</c:f>
              <c:numCache>
                <c:formatCode>0.0%</c:formatCode>
                <c:ptCount val="2"/>
                <c:pt idx="0">
                  <c:v>0.29763066120087822</c:v>
                </c:pt>
                <c:pt idx="1">
                  <c:v>0.29763066120087822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A60-4F5E-9B08-100B9CBE8F38}"/>
            </c:ext>
          </c:extLst>
        </c:ser>
        <c:ser>
          <c:idx val="6"/>
          <c:order val="6"/>
          <c:tx>
            <c:v>99%</c:v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Ref>
              <c:f>(Class2!$AD$27,Class2!$AD$27)</c:f>
              <c:numCache>
                <c:formatCode>0.0%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60-4F5E-9B08-100B9CBE8F38}"/>
            </c:ext>
          </c:extLst>
        </c:ser>
        <c:ser>
          <c:idx val="7"/>
          <c:order val="7"/>
          <c:tx>
            <c:v>50%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-5</c:v>
              </c:pt>
              <c:pt idx="1">
                <c:v>40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8A60-4F5E-9B08-100B9CBE8F3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46545240"/>
        <c:axId val="546545568"/>
      </c:scatterChart>
      <c:valAx>
        <c:axId val="546545240"/>
        <c:scaling>
          <c:orientation val="minMax"/>
          <c:max val="24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568"/>
        <c:crosses val="autoZero"/>
        <c:crossBetween val="midCat"/>
      </c:valAx>
      <c:valAx>
        <c:axId val="546545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28</xdr:row>
      <xdr:rowOff>142433</xdr:rowOff>
    </xdr:from>
    <xdr:to>
      <xdr:col>29</xdr:col>
      <xdr:colOff>278823</xdr:colOff>
      <xdr:row>47</xdr:row>
      <xdr:rowOff>187815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33</xdr:row>
      <xdr:rowOff>218633</xdr:rowOff>
    </xdr:from>
    <xdr:to>
      <xdr:col>29</xdr:col>
      <xdr:colOff>212148</xdr:colOff>
      <xdr:row>55</xdr:row>
      <xdr:rowOff>25890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</xdr:row>
          <xdr:rowOff>114300</xdr:rowOff>
        </xdr:from>
        <xdr:to>
          <xdr:col>4</xdr:col>
          <xdr:colOff>495300</xdr:colOff>
          <xdr:row>8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1) Export results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76200</xdr:rowOff>
        </xdr:from>
        <xdr:to>
          <xdr:col>9</xdr:col>
          <xdr:colOff>352425</xdr:colOff>
          <xdr:row>8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2) Reset notes sheets for future use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persons/person55.xml><?xml version="1.0" encoding="utf-8"?>
<personList xmlns="http://schemas.microsoft.com/office/spreadsheetml/2018/threadedcomments" xmlns:x="http://schemas.openxmlformats.org/spreadsheetml/2006/main"/>
</file>

<file path=xl/persons/person56.xml><?xml version="1.0" encoding="utf-8"?>
<personList xmlns="http://schemas.microsoft.com/office/spreadsheetml/2018/threadedcomments" xmlns:x="http://schemas.openxmlformats.org/spreadsheetml/2006/main"/>
</file>

<file path=xl/persons/person57.xml><?xml version="1.0" encoding="utf-8"?>
<personList xmlns="http://schemas.microsoft.com/office/spreadsheetml/2018/threadedcomments" xmlns:x="http://schemas.openxmlformats.org/spreadsheetml/2006/main"/>
</file>

<file path=xl/persons/person58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37A800-545B-461A-9BCF-9040DB6EA01E}" name="Tableau432623245" displayName="Tableau432623245" ref="B5:W26" totalsRowShown="0" headerRowDxfId="83" dataDxfId="82">
  <autoFilter ref="B5:W26" xr:uid="{BC67EDC6-5B13-49A7-A004-083EA65EDDC6}"/>
  <sortState xmlns:xlrd2="http://schemas.microsoft.com/office/spreadsheetml/2017/richdata2" ref="B6:W26">
    <sortCondition ref="E5:E26"/>
  </sortState>
  <tableColumns count="22">
    <tableColumn id="5" xr3:uid="{7E90329B-6DE0-4C71-A1AF-08D981D3C717}" name="  " dataDxfId="81"/>
    <tableColumn id="6" xr3:uid="{C8108C71-20E5-4B47-B700-3399C473AEF2}" name=" " dataDxfId="80">
      <calculatedColumnFormula>IFERROR($AE$2*Tableau432623245[[#This Row],[   ]]+(1-$AE$2)*Tableau432623245[[#This Row],[    ]],"-")</calculatedColumnFormula>
    </tableColumn>
    <tableColumn id="7" xr3:uid="{6B6EB498-EC79-41CC-91F5-93FF8131094E}" name="/20" dataDxfId="79">
      <calculatedColumnFormula>IFERROR(IF(Tableau432623245[[#This Row],[ ]]&lt;&gt;0,MROUND(Tableau432623245[[#This Row],[ ]]*20,0.5),"ABS"),"-")</calculatedColumnFormula>
    </tableColumn>
    <tableColumn id="1" xr3:uid="{02442188-26E2-4C01-93E5-21E187D0FE7A}" name="Nom" dataDxfId="78"/>
    <tableColumn id="2" xr3:uid="{C440F105-31A2-442F-8E8E-3E93789655D9}" name="Prénom" dataDxfId="77"/>
    <tableColumn id="16" xr3:uid="{C27B8405-D13E-47C0-8D60-A301691F8395}" name="OK ?" dataDxfId="76"/>
    <tableColumn id="13" xr3:uid="{D3A9DA16-1118-45A2-935A-B843D229AC70}" name="21" dataDxfId="75">
      <calculatedColumnFormula>RANDBETWEEN(H$4/4,H$4)</calculatedColumnFormula>
    </tableColumn>
    <tableColumn id="14" xr3:uid="{A321B93D-84FC-4D61-818E-F00661B37B3D}" name="22" dataDxfId="74">
      <calculatedColumnFormula>RANDBETWEEN(I$4/4,I$4)</calculatedColumnFormula>
    </tableColumn>
    <tableColumn id="15" xr3:uid="{0AC71141-4F94-49DA-BD72-281E00779522}" name="12" dataDxfId="73">
      <calculatedColumnFormula>RANDBETWEEN(J$4/4,J$4)</calculatedColumnFormula>
    </tableColumn>
    <tableColumn id="17" xr3:uid="{892979B3-E65C-436B-975E-475810BBB723}" name="11" dataDxfId="72">
      <calculatedColumnFormula>RANDBETWEEN(K$4/4,K$4)</calculatedColumnFormula>
    </tableColumn>
    <tableColumn id="18" xr3:uid="{0F06078B-FFC1-4773-8D9E-4FBDB6A485E8}" name="23" dataDxfId="71">
      <calculatedColumnFormula>RANDBETWEEN(L$4/4,L$4)</calculatedColumnFormula>
    </tableColumn>
    <tableColumn id="19" xr3:uid="{DDFD22E0-DED8-45FA-8E1A-26C50D00AF0B}" name="Colonne1" dataDxfId="70"/>
    <tableColumn id="20" xr3:uid="{A42CB596-62E5-4C76-9181-8C72C8611883}" name="Colonne2" dataDxfId="69"/>
    <tableColumn id="21" xr3:uid="{4CFF90AB-874D-49E7-A7EC-2537E937A089}" name="Colonne3" dataDxfId="68"/>
    <tableColumn id="22" xr3:uid="{112DE5EE-D7BB-42F5-A9C8-B0ED63D0B515}" name="Colonne4" dataDxfId="67"/>
    <tableColumn id="23" xr3:uid="{9768BFAF-C406-4594-944D-EF092F83B81A}" name="Colonne5" dataDxfId="66"/>
    <tableColumn id="3" xr3:uid="{86F1C732-0BD1-4E35-9E4E-A918A17A916F}" name="   " dataDxfId="65" dataCellStyle="Pourcentage">
      <calculatedColumnFormula>IFERROR(T6/U6,"-")</calculatedColumnFormula>
    </tableColumn>
    <tableColumn id="4" xr3:uid="{1DFF461C-57FE-474E-A368-FF2D86256531}" name="    " dataDxfId="64" dataCellStyle="Pourcentage">
      <calculatedColumnFormula>IFERROR(V6/W6,"-")</calculatedColumnFormula>
    </tableColumn>
    <tableColumn id="8" xr3:uid="{07E62659-48BC-4E29-AC95-69F783E29E1C}" name="     " dataDxfId="63">
      <calculatedColumnFormula>SUMIF($H$2:$Q$2,"*UAA*",Tableau432623245[[#This Row],[21]:[Colonne5]])</calculatedColumnFormula>
    </tableColumn>
    <tableColumn id="9" xr3:uid="{3F7FA8B3-C2DA-4C51-BD2A-E901044F2FAD}" name="      " dataDxfId="62">
      <calculatedColumnFormula>SUMIFS($H$4:$Q$4,$H$2:$Q$2,"*UAA*",Tableau432623245[[#This Row],[21]:[Colonne5]],"&lt;&gt;-",Tableau432623245[[#This Row],[21]:[Colonne5]],"&lt;&gt;ABS")</calculatedColumnFormula>
    </tableColumn>
    <tableColumn id="10" xr3:uid="{EA25F2E6-0101-485C-8525-1E2B22235EBA}" name="       " dataDxfId="61">
      <calculatedColumnFormula>SUM(Tableau432623245[[#This Row],[21]],Tableau432623245[[#This Row],[22]:[Colonne5]])-T6</calculatedColumnFormula>
    </tableColumn>
    <tableColumn id="11" xr3:uid="{DBDABAC9-01A4-4C6F-B53A-AD0EE7DDB899}" name="        " dataDxfId="60">
      <calculatedColumnFormula>SUMIFS($H$4:$Q$4,Tableau432623245[[#This Row],[21]:[Colonne5]],"&lt;&gt;-",Tableau432623245[[#This Row],[21]:[Colonne5]],"&lt;&gt;ABS")-Tableau432623245[[#This Row],[      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2DA268-7B9D-460C-B6CC-1A013D3887C4}" name="Tableau4326232454" displayName="Tableau4326232454" ref="B5:W28" totalsRowShown="0" headerRowDxfId="23" dataDxfId="22">
  <autoFilter ref="B5:W28" xr:uid="{BC67EDC6-5B13-49A7-A004-083EA65EDDC6}"/>
  <sortState xmlns:xlrd2="http://schemas.microsoft.com/office/spreadsheetml/2017/richdata2" ref="B6:W28">
    <sortCondition ref="E5:E28"/>
  </sortState>
  <tableColumns count="22">
    <tableColumn id="5" xr3:uid="{784456C1-E4BE-4560-AC40-6137D470E430}" name="  " dataDxfId="21"/>
    <tableColumn id="6" xr3:uid="{68A75498-65BC-423F-B0B2-CF34328EFDAE}" name=" " dataDxfId="20">
      <calculatedColumnFormula>IFERROR($AE$2*Tableau4326232454[[#This Row],[   2]]+(1-$AE$2)*Tableau4326232454[[#This Row],[    2]],"-")</calculatedColumnFormula>
    </tableColumn>
    <tableColumn id="7" xr3:uid="{228B67CD-752B-4D79-9A6B-E1E271A91C09}" name="/20" dataDxfId="19">
      <calculatedColumnFormula>IFERROR(IF(Tableau4326232454[[#This Row],[ ]]&lt;&gt;0,MROUND(Tableau4326232454[[#This Row],[ ]]*20,0.5),"ABS"),"-")</calculatedColumnFormula>
    </tableColumn>
    <tableColumn id="1" xr3:uid="{3510B51D-CF92-4D06-88F4-C213B28FC11D}" name="Nom" dataDxfId="18"/>
    <tableColumn id="2" xr3:uid="{ECB2ABDB-F78C-477F-AA8B-7CF95E450156}" name="Prénom" dataDxfId="17"/>
    <tableColumn id="16" xr3:uid="{E27489B8-AD8C-457B-9339-0919BC1B2DF0}" name="OK ?" dataDxfId="16"/>
    <tableColumn id="13" xr3:uid="{56D1083B-332B-4910-B9FB-2F0130139997}" name="21" dataDxfId="15">
      <calculatedColumnFormula>RANDBETWEEN(H$4/4,H$4)</calculatedColumnFormula>
    </tableColumn>
    <tableColumn id="14" xr3:uid="{9AF82AE0-3F79-46B2-927A-ADB37B856DD6}" name="22" dataDxfId="14">
      <calculatedColumnFormula>RANDBETWEEN(I$4/4,I$4)</calculatedColumnFormula>
    </tableColumn>
    <tableColumn id="15" xr3:uid="{24078EBA-420B-4964-825F-C39C72D631E3}" name="12" dataDxfId="13">
      <calculatedColumnFormula>RANDBETWEEN(J$4/4,J$4)</calculatedColumnFormula>
    </tableColumn>
    <tableColumn id="17" xr3:uid="{20AB8F6F-D740-4BD1-A29D-4B8F6D4361E1}" name="Colonne1" dataDxfId="12"/>
    <tableColumn id="18" xr3:uid="{67525543-C54C-4136-9BD3-3E91417C7780}" name="Colonne2" dataDxfId="11"/>
    <tableColumn id="19" xr3:uid="{75C7C7F4-39B7-4577-B383-525BD09FE72B}" name="Colonne3" dataDxfId="10"/>
    <tableColumn id="20" xr3:uid="{55E9557C-31E2-4967-B33F-8953F90BB205}" name="Colonne4" dataDxfId="9"/>
    <tableColumn id="21" xr3:uid="{FE856446-3DC3-4951-B512-B3252E7F40E1}" name="Colonne5" dataDxfId="8"/>
    <tableColumn id="22" xr3:uid="{80831F1E-DBAB-4B0B-9C51-D84775DA97BD}" name="Colonne6" dataDxfId="7"/>
    <tableColumn id="23" xr3:uid="{923C90A5-2776-457F-9858-E7F7552B6AF9}" name="Colonne7" dataDxfId="6"/>
    <tableColumn id="3" xr3:uid="{6B53B778-40A5-4FFA-8765-50FAE5275CD5}" name="   2" dataDxfId="5" dataCellStyle="Pourcentage">
      <calculatedColumnFormula>IFERROR(T6/U6,"-")</calculatedColumnFormula>
    </tableColumn>
    <tableColumn id="4" xr3:uid="{65AB04A8-522D-417B-B218-90CBD0BD3DFD}" name="    2" dataDxfId="4" dataCellStyle="Pourcentage">
      <calculatedColumnFormula>IFERROR(V6/W6,"-")</calculatedColumnFormula>
    </tableColumn>
    <tableColumn id="8" xr3:uid="{5EF41541-1EB4-4830-A5C7-39EE9B449425}" name="     " dataDxfId="3">
      <calculatedColumnFormula>SUMIF($H$2:$Q$2,"*UAA*",Tableau4326232454[[#This Row],[21]:[Colonne7]])</calculatedColumnFormula>
    </tableColumn>
    <tableColumn id="9" xr3:uid="{3C90CAE5-562C-4BFE-A746-E011BDB732D5}" name="      " dataDxfId="2">
      <calculatedColumnFormula>SUMIFS($H$4:$Q$4,$H$2:$Q$2,"*UAA*",Tableau4326232454[[#This Row],[21]:[Colonne7]],"&lt;&gt;-",Tableau4326232454[[#This Row],[21]:[Colonne7]],"&lt;&gt;ABS")</calculatedColumnFormula>
    </tableColumn>
    <tableColumn id="10" xr3:uid="{2601860D-20DA-4079-BA42-1F58C0D801FD}" name="       " dataDxfId="1">
      <calculatedColumnFormula>SUM(Tableau4326232454[[#This Row],[21]],Tableau4326232454[[#This Row],[22]:[Colonne7]])-T6</calculatedColumnFormula>
    </tableColumn>
    <tableColumn id="11" xr3:uid="{4A9BF6D0-6F4B-4B98-A6C0-64091BEF119A}" name="        " dataDxfId="0">
      <calculatedColumnFormula>SUMIFS($H$4:$Q$4,Tableau4326232454[[#This Row],[21]:[Colonne7]],"&lt;&gt;-",Tableau4326232454[[#This Row],[21]:[Colonne7]],"&lt;&gt;ABS")-Tableau4326232454[[#This Row],[      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22D1-0F62-455E-B838-6D06FB86AC74}">
  <sheetPr codeName="Feuil1">
    <tabColor rgb="FF92D050"/>
  </sheetPr>
  <dimension ref="A1:AH41"/>
  <sheetViews>
    <sheetView tabSelected="1" topLeftCell="G1" zoomScaleNormal="100" zoomScalePageLayoutView="85" workbookViewId="0">
      <pane ySplit="5" topLeftCell="A6" activePane="bottomLeft" state="frozen"/>
      <selection activeCell="B1" sqref="B1"/>
      <selection pane="bottomLeft" activeCell="M8" sqref="M8"/>
    </sheetView>
  </sheetViews>
  <sheetFormatPr baseColWidth="10" defaultColWidth="1.7109375" defaultRowHeight="15" x14ac:dyDescent="0.25"/>
  <cols>
    <col min="2" max="2" width="4" customWidth="1"/>
    <col min="3" max="3" width="5.5703125" style="3" customWidth="1"/>
    <col min="4" max="4" width="6.28515625" customWidth="1"/>
    <col min="5" max="5" width="13.7109375" customWidth="1"/>
    <col min="6" max="6" width="16.42578125" customWidth="1"/>
    <col min="7" max="7" width="5.140625" customWidth="1"/>
    <col min="8" max="16" width="8.7109375" style="1" customWidth="1"/>
    <col min="17" max="17" width="9" style="1" bestFit="1" customWidth="1"/>
    <col min="18" max="18" width="5.85546875" customWidth="1"/>
    <col min="19" max="19" width="6.5703125" customWidth="1"/>
    <col min="20" max="20" width="4.140625" customWidth="1"/>
    <col min="21" max="23" width="4.85546875" customWidth="1"/>
    <col min="24" max="24" width="6.7109375" style="2" customWidth="1"/>
    <col min="25" max="25" width="6.140625" style="1" customWidth="1"/>
    <col min="26" max="28" width="6.28515625" style="1" customWidth="1"/>
    <col min="29" max="29" width="7" customWidth="1"/>
    <col min="30" max="30" width="7.28515625" customWidth="1"/>
    <col min="31" max="31" width="6.140625" customWidth="1"/>
    <col min="32" max="32" width="8" customWidth="1"/>
    <col min="33" max="33" width="8.7109375" customWidth="1"/>
    <col min="34" max="34" width="20.140625" customWidth="1"/>
    <col min="35" max="61" width="6" customWidth="1"/>
  </cols>
  <sheetData>
    <row r="1" spans="2:34" ht="15.75" thickBot="1" x14ac:dyDescent="0.3">
      <c r="R1" s="2"/>
      <c r="S1" s="2"/>
      <c r="T1" s="2"/>
      <c r="U1" s="2"/>
      <c r="V1" s="2"/>
      <c r="W1" s="2"/>
    </row>
    <row r="2" spans="2:34" s="47" customFormat="1" ht="101.25" customHeight="1" thickTop="1" thickBot="1" x14ac:dyDescent="0.3">
      <c r="B2" s="60" t="s">
        <v>8</v>
      </c>
      <c r="C2" s="61"/>
      <c r="D2" s="61"/>
      <c r="E2" s="61"/>
      <c r="F2" s="62"/>
      <c r="G2" s="51" t="s">
        <v>64</v>
      </c>
      <c r="H2" s="50" t="s">
        <v>63</v>
      </c>
      <c r="I2" s="50" t="s">
        <v>62</v>
      </c>
      <c r="J2" s="50" t="s">
        <v>61</v>
      </c>
      <c r="K2" s="50" t="s">
        <v>60</v>
      </c>
      <c r="L2" s="50" t="s">
        <v>59</v>
      </c>
      <c r="M2" s="50"/>
      <c r="N2" s="50"/>
      <c r="O2" s="50"/>
      <c r="P2" s="49"/>
      <c r="Q2" s="49"/>
      <c r="R2" s="66" t="s">
        <v>58</v>
      </c>
      <c r="S2" s="69" t="s">
        <v>57</v>
      </c>
      <c r="T2" s="58" t="s">
        <v>56</v>
      </c>
      <c r="U2" s="72" t="s">
        <v>55</v>
      </c>
      <c r="V2" s="58" t="s">
        <v>54</v>
      </c>
      <c r="W2" s="72" t="s">
        <v>53</v>
      </c>
      <c r="X2" s="2"/>
      <c r="Y2" s="48"/>
      <c r="Z2" s="74" t="s">
        <v>52</v>
      </c>
      <c r="AA2" s="75"/>
      <c r="AB2" s="75"/>
      <c r="AC2" s="75"/>
      <c r="AD2" s="75"/>
      <c r="AE2" s="76">
        <v>0.8</v>
      </c>
      <c r="AF2" s="77"/>
    </row>
    <row r="3" spans="2:34" ht="42.75" customHeight="1" thickTop="1" thickBot="1" x14ac:dyDescent="0.3">
      <c r="B3" s="63"/>
      <c r="C3" s="64"/>
      <c r="D3" s="64"/>
      <c r="E3" s="64"/>
      <c r="F3" s="65"/>
      <c r="G3" s="46" t="s">
        <v>51</v>
      </c>
      <c r="H3" s="44">
        <v>45007</v>
      </c>
      <c r="I3" s="44">
        <v>45014</v>
      </c>
      <c r="J3" s="44">
        <v>45028</v>
      </c>
      <c r="K3" s="44">
        <v>45037</v>
      </c>
      <c r="L3" s="44">
        <v>45042</v>
      </c>
      <c r="M3" s="44"/>
      <c r="N3" s="45"/>
      <c r="O3" s="45"/>
      <c r="P3" s="44"/>
      <c r="Q3" s="43"/>
      <c r="R3" s="67"/>
      <c r="S3" s="70"/>
      <c r="T3" s="59"/>
      <c r="U3" s="73"/>
      <c r="V3" s="59"/>
      <c r="W3" s="73"/>
      <c r="Z3" s="78" t="s">
        <v>50</v>
      </c>
      <c r="AA3" s="79"/>
      <c r="AB3" s="79"/>
      <c r="AC3" s="79"/>
      <c r="AD3" s="79"/>
      <c r="AE3" s="79"/>
      <c r="AF3" s="80"/>
    </row>
    <row r="4" spans="2:34" ht="41.25" customHeight="1" thickTop="1" thickBot="1" x14ac:dyDescent="0.3">
      <c r="B4" s="63"/>
      <c r="C4" s="64"/>
      <c r="D4" s="64"/>
      <c r="E4" s="64"/>
      <c r="F4" s="65"/>
      <c r="G4" s="42" t="s">
        <v>2</v>
      </c>
      <c r="H4" s="41">
        <v>25</v>
      </c>
      <c r="I4" s="41">
        <v>20</v>
      </c>
      <c r="J4" s="41">
        <v>50</v>
      </c>
      <c r="K4" s="41">
        <v>35</v>
      </c>
      <c r="L4" s="41">
        <v>15</v>
      </c>
      <c r="M4" s="41"/>
      <c r="N4" s="41"/>
      <c r="O4" s="41"/>
      <c r="P4" s="41"/>
      <c r="Q4" s="41"/>
      <c r="R4" s="68"/>
      <c r="S4" s="71"/>
      <c r="T4" s="59"/>
      <c r="U4" s="73"/>
      <c r="V4" s="59"/>
      <c r="W4" s="73"/>
      <c r="Z4" s="81" t="s">
        <v>49</v>
      </c>
      <c r="AA4" s="81" t="s">
        <v>48</v>
      </c>
      <c r="AB4" s="81" t="s">
        <v>17</v>
      </c>
      <c r="AC4" s="81" t="s">
        <v>16</v>
      </c>
      <c r="AD4" s="81" t="s">
        <v>47</v>
      </c>
      <c r="AE4" s="81" t="s">
        <v>46</v>
      </c>
      <c r="AF4" s="57" t="s">
        <v>45</v>
      </c>
    </row>
    <row r="5" spans="2:34" ht="26.25" customHeight="1" thickTop="1" x14ac:dyDescent="0.25">
      <c r="B5" s="37" t="s">
        <v>44</v>
      </c>
      <c r="C5" s="40" t="s">
        <v>43</v>
      </c>
      <c r="D5" s="40" t="s">
        <v>42</v>
      </c>
      <c r="E5" s="39" t="s">
        <v>0</v>
      </c>
      <c r="F5" s="39" t="s">
        <v>1</v>
      </c>
      <c r="G5" s="38" t="s">
        <v>3</v>
      </c>
      <c r="H5" s="55" t="s">
        <v>41</v>
      </c>
      <c r="I5" s="55" t="s">
        <v>40</v>
      </c>
      <c r="J5" s="55" t="s">
        <v>39</v>
      </c>
      <c r="K5" s="55" t="s">
        <v>38</v>
      </c>
      <c r="L5" s="55" t="s">
        <v>37</v>
      </c>
      <c r="M5" s="55" t="s">
        <v>10</v>
      </c>
      <c r="N5" s="56" t="s">
        <v>11</v>
      </c>
      <c r="O5" s="56" t="s">
        <v>12</v>
      </c>
      <c r="P5" s="56" t="s">
        <v>13</v>
      </c>
      <c r="Q5" s="56" t="s">
        <v>5</v>
      </c>
      <c r="R5" s="35" t="s">
        <v>36</v>
      </c>
      <c r="S5" s="36" t="s">
        <v>35</v>
      </c>
      <c r="T5" s="35" t="s">
        <v>34</v>
      </c>
      <c r="U5" s="34" t="s">
        <v>33</v>
      </c>
      <c r="V5" s="35" t="s">
        <v>32</v>
      </c>
      <c r="W5" s="34" t="s">
        <v>31</v>
      </c>
      <c r="Z5" s="81"/>
      <c r="AA5" s="81"/>
      <c r="AB5" s="81"/>
      <c r="AC5" s="81"/>
      <c r="AD5" s="81"/>
      <c r="AE5" s="81"/>
      <c r="AF5" s="57"/>
    </row>
    <row r="6" spans="2:34" ht="22.5" customHeight="1" x14ac:dyDescent="0.25">
      <c r="B6" s="1">
        <v>1</v>
      </c>
      <c r="C6" s="20">
        <f ca="1">IFERROR($AE$2*Tableau432623245[[#This Row],[   ]]+(1-$AE$2)*Tableau432623245[[#This Row],[    ]],"-")</f>
        <v>0.40450980392156866</v>
      </c>
      <c r="D6" s="19">
        <f ca="1">IFERROR(IF(Tableau432623245[[#This Row],[ ]]&lt;&gt;0,MROUND(Tableau432623245[[#This Row],[ ]]*20,0.5),"ABS"),"-")</f>
        <v>8</v>
      </c>
      <c r="E6" s="18" t="s">
        <v>69</v>
      </c>
      <c r="F6" s="17" t="s">
        <v>70</v>
      </c>
      <c r="G6" s="16"/>
      <c r="H6" s="15">
        <f t="shared" ref="H6:L15" ca="1" si="0">RANDBETWEEN(H$4/4,H$4)</f>
        <v>13</v>
      </c>
      <c r="I6" s="15">
        <f t="shared" ca="1" si="0"/>
        <v>7</v>
      </c>
      <c r="J6" s="15">
        <f t="shared" ca="1" si="0"/>
        <v>13</v>
      </c>
      <c r="K6" s="15">
        <f t="shared" ca="1" si="0"/>
        <v>19</v>
      </c>
      <c r="L6" s="15">
        <f t="shared" ca="1" si="0"/>
        <v>11</v>
      </c>
      <c r="M6" s="15" t="s">
        <v>4</v>
      </c>
      <c r="N6" s="15" t="s">
        <v>4</v>
      </c>
      <c r="O6" s="15" t="s">
        <v>4</v>
      </c>
      <c r="P6" s="15" t="s">
        <v>4</v>
      </c>
      <c r="Q6" s="14" t="s">
        <v>4</v>
      </c>
      <c r="R6" s="13">
        <f t="shared" ref="R6:R26" ca="1" si="1">IFERROR(T6/U6,"-")</f>
        <v>0.37647058823529411</v>
      </c>
      <c r="S6" s="13">
        <f t="shared" ref="S6:S26" ca="1" si="2">IFERROR(V6/W6,"-")</f>
        <v>0.51666666666666672</v>
      </c>
      <c r="T6" s="12">
        <f ca="1">SUMIF($H$2:$Q$2,"*UAA*",Tableau432623245[[#This Row],[21]:[Colonne5]])</f>
        <v>32</v>
      </c>
      <c r="U6" s="11">
        <f ca="1">SUMIFS($H$4:$Q$4,$H$2:$Q$2,"*UAA*",Tableau432623245[[#This Row],[21]:[Colonne5]],"&lt;&gt;-",Tableau432623245[[#This Row],[21]:[Colonne5]],"&lt;&gt;ABS")</f>
        <v>85</v>
      </c>
      <c r="V6" s="10">
        <f ca="1">SUM(Tableau432623245[[#This Row],[21]],Tableau432623245[[#This Row],[22]:[Colonne5]])-T6</f>
        <v>31</v>
      </c>
      <c r="W6" s="9">
        <f ca="1">SUMIFS($H$4:$Q$4,Tableau432623245[[#This Row],[21]:[Colonne5]],"&lt;&gt;-",Tableau432623245[[#This Row],[21]:[Colonne5]],"&lt;&gt;ABS")-Tableau432623245[[#This Row],[      ]]</f>
        <v>60</v>
      </c>
      <c r="Z6" s="1" t="s">
        <v>30</v>
      </c>
      <c r="AA6" s="1" t="str">
        <f>IF(ISERROR(SEARCH("UAA",H2)),"N","O")</f>
        <v>N</v>
      </c>
      <c r="AB6" s="33">
        <f ca="1">IFERROR(AVERAGE(H6:H26)/H4,"-")</f>
        <v>0.61142857142857143</v>
      </c>
      <c r="AC6" s="33">
        <f ca="1">IFERROR(_xlfn.STDEV.S(H6:H26)/H4,"-")</f>
        <v>0.18249070426423691</v>
      </c>
      <c r="AD6" s="32">
        <f ca="1">COUNTIF(Tableau432623245[21],"&lt;"&amp;H4/2)</f>
        <v>5</v>
      </c>
      <c r="AE6" s="32">
        <f ca="1">COUNTIF(Tableau432623245[21],"&lt;&gt;ABS")</f>
        <v>21</v>
      </c>
      <c r="AF6" s="31">
        <f t="shared" ref="AF6:AF16" ca="1" si="3">1-AD6/AE6</f>
        <v>0.76190476190476186</v>
      </c>
      <c r="AH6" s="4"/>
    </row>
    <row r="7" spans="2:34" ht="22.5" customHeight="1" x14ac:dyDescent="0.25">
      <c r="B7" s="1">
        <v>8</v>
      </c>
      <c r="C7" s="20">
        <f ca="1">IFERROR($AE$2*Tableau432623245[[#This Row],[   ]]+(1-$AE$2)*Tableau432623245[[#This Row],[    ]],"-")</f>
        <v>0.61823529411764699</v>
      </c>
      <c r="D7" s="19">
        <f ca="1">IFERROR(IF(Tableau432623245[[#This Row],[ ]]&lt;&gt;0,MROUND(Tableau432623245[[#This Row],[ ]]*20,0.5),"ABS"),"-")</f>
        <v>12.5</v>
      </c>
      <c r="E7" s="18" t="s">
        <v>71</v>
      </c>
      <c r="F7" s="17" t="s">
        <v>72</v>
      </c>
      <c r="G7" s="16"/>
      <c r="H7" s="15">
        <f t="shared" ca="1" si="0"/>
        <v>15</v>
      </c>
      <c r="I7" s="15">
        <f t="shared" ca="1" si="0"/>
        <v>14</v>
      </c>
      <c r="J7" s="15">
        <f t="shared" ca="1" si="0"/>
        <v>29</v>
      </c>
      <c r="K7" s="15">
        <f t="shared" ca="1" si="0"/>
        <v>25</v>
      </c>
      <c r="L7" s="15">
        <f t="shared" ca="1" si="0"/>
        <v>4</v>
      </c>
      <c r="M7" s="15" t="s">
        <v>4</v>
      </c>
      <c r="N7" s="15" t="s">
        <v>4</v>
      </c>
      <c r="O7" s="15" t="s">
        <v>4</v>
      </c>
      <c r="P7" s="15" t="s">
        <v>4</v>
      </c>
      <c r="Q7" s="14" t="s">
        <v>4</v>
      </c>
      <c r="R7" s="13">
        <f t="shared" ca="1" si="1"/>
        <v>0.63529411764705879</v>
      </c>
      <c r="S7" s="13">
        <f t="shared" ca="1" si="2"/>
        <v>0.55000000000000004</v>
      </c>
      <c r="T7" s="12">
        <f ca="1">SUMIF($H$2:$Q$2,"*UAA*",Tableau432623245[[#This Row],[21]:[Colonne5]])</f>
        <v>54</v>
      </c>
      <c r="U7" s="11">
        <f ca="1">SUMIFS($H$4:$Q$4,$H$2:$Q$2,"*UAA*",Tableau432623245[[#This Row],[21]:[Colonne5]],"&lt;&gt;-",Tableau432623245[[#This Row],[21]:[Colonne5]],"&lt;&gt;ABS")</f>
        <v>85</v>
      </c>
      <c r="V7" s="10">
        <f ca="1">SUM(Tableau432623245[[#This Row],[21]],Tableau432623245[[#This Row],[22]:[Colonne5]])-T7</f>
        <v>33</v>
      </c>
      <c r="W7" s="9">
        <f ca="1">SUMIFS($H$4:$Q$4,Tableau432623245[[#This Row],[21]:[Colonne5]],"&lt;&gt;-",Tableau432623245[[#This Row],[21]:[Colonne5]],"&lt;&gt;ABS")-Tableau432623245[[#This Row],[      ]]</f>
        <v>60</v>
      </c>
      <c r="Z7" s="1" t="s">
        <v>29</v>
      </c>
      <c r="AA7" s="1" t="str">
        <f>IF(ISERROR(SEARCH("UAA",I2)),"N","O")</f>
        <v>N</v>
      </c>
      <c r="AB7" s="33">
        <f ca="1">IFERROR(AVERAGE(I6:I26)/I4,"-")</f>
        <v>0.64047619047619053</v>
      </c>
      <c r="AC7" s="33">
        <f ca="1">IFERROR(_xlfn.STDEV.S(I6:I26)/I4,"-")</f>
        <v>0.24063408300729541</v>
      </c>
      <c r="AD7" s="32">
        <f ca="1">COUNTIF(Tableau432623245[22],"&lt;"&amp;I4/2)</f>
        <v>6</v>
      </c>
      <c r="AE7" s="32">
        <f ca="1">COUNTIF(Tableau432623245[22],"&lt;&gt;ABS")</f>
        <v>21</v>
      </c>
      <c r="AF7" s="31">
        <f t="shared" ca="1" si="3"/>
        <v>0.7142857142857143</v>
      </c>
      <c r="AH7" s="4"/>
    </row>
    <row r="8" spans="2:34" ht="22.5" customHeight="1" x14ac:dyDescent="0.25">
      <c r="B8" s="1">
        <v>2</v>
      </c>
      <c r="C8" s="20">
        <f ca="1">IFERROR($AE$2*Tableau432623245[[#This Row],[   ]]+(1-$AE$2)*Tableau432623245[[#This Row],[    ]],"-")</f>
        <v>0.50431372549019604</v>
      </c>
      <c r="D8" s="19">
        <f ca="1">IFERROR(IF(Tableau432623245[[#This Row],[ ]]&lt;&gt;0,MROUND(Tableau432623245[[#This Row],[ ]]*20,0.5),"ABS"),"-")</f>
        <v>10</v>
      </c>
      <c r="E8" s="18" t="s">
        <v>73</v>
      </c>
      <c r="F8" s="17" t="s">
        <v>74</v>
      </c>
      <c r="G8" s="16"/>
      <c r="H8" s="15">
        <f t="shared" ca="1" si="0"/>
        <v>9</v>
      </c>
      <c r="I8" s="15">
        <f t="shared" ca="1" si="0"/>
        <v>20</v>
      </c>
      <c r="J8" s="15">
        <f t="shared" ca="1" si="0"/>
        <v>13</v>
      </c>
      <c r="K8" s="15">
        <f t="shared" ca="1" si="0"/>
        <v>25</v>
      </c>
      <c r="L8" s="15">
        <f t="shared" ca="1" si="0"/>
        <v>15</v>
      </c>
      <c r="M8" s="15" t="s">
        <v>4</v>
      </c>
      <c r="N8" s="15" t="s">
        <v>4</v>
      </c>
      <c r="O8" s="15" t="s">
        <v>4</v>
      </c>
      <c r="P8" s="15" t="s">
        <v>4</v>
      </c>
      <c r="Q8" s="14" t="s">
        <v>4</v>
      </c>
      <c r="R8" s="13">
        <f t="shared" ca="1" si="1"/>
        <v>0.44705882352941179</v>
      </c>
      <c r="S8" s="13">
        <f t="shared" ca="1" si="2"/>
        <v>0.73333333333333328</v>
      </c>
      <c r="T8" s="12">
        <f ca="1">SUMIF($H$2:$Q$2,"*UAA*",Tableau432623245[[#This Row],[21]:[Colonne5]])</f>
        <v>38</v>
      </c>
      <c r="U8" s="11">
        <f ca="1">SUMIFS($H$4:$Q$4,$H$2:$Q$2,"*UAA*",Tableau432623245[[#This Row],[21]:[Colonne5]],"&lt;&gt;-",Tableau432623245[[#This Row],[21]:[Colonne5]],"&lt;&gt;ABS")</f>
        <v>85</v>
      </c>
      <c r="V8" s="10">
        <f ca="1">SUM(Tableau432623245[[#This Row],[21]],Tableau432623245[[#This Row],[22]:[Colonne5]])-T8</f>
        <v>44</v>
      </c>
      <c r="W8" s="9">
        <f ca="1">SUMIFS($H$4:$Q$4,Tableau432623245[[#This Row],[21]:[Colonne5]],"&lt;&gt;-",Tableau432623245[[#This Row],[21]:[Colonne5]],"&lt;&gt;ABS")-Tableau432623245[[#This Row],[      ]]</f>
        <v>60</v>
      </c>
      <c r="Z8" s="1" t="s">
        <v>28</v>
      </c>
      <c r="AA8" s="1" t="str">
        <f>IF(ISERROR(SEARCH("UAA",J2)),"N","O")</f>
        <v>O</v>
      </c>
      <c r="AB8" s="33">
        <f ca="1">IFERROR(AVERAGE(J6:J26)/J4,"-")</f>
        <v>0.62380952380952381</v>
      </c>
      <c r="AC8" s="33">
        <f ca="1">IFERROR(_xlfn.STDEV.S(J6:J26)/J4,"-")</f>
        <v>0.20353073945908493</v>
      </c>
      <c r="AD8" s="32">
        <f ca="1">COUNTIF(Tableau432623245[12],"&lt;"&amp;J4/2)</f>
        <v>5</v>
      </c>
      <c r="AE8" s="32">
        <f ca="1">COUNTIF(Tableau432623245[12],"&lt;&gt;ABS")</f>
        <v>21</v>
      </c>
      <c r="AF8" s="31">
        <f t="shared" ca="1" si="3"/>
        <v>0.76190476190476186</v>
      </c>
      <c r="AH8" s="4"/>
    </row>
    <row r="9" spans="2:34" ht="22.5" customHeight="1" x14ac:dyDescent="0.25">
      <c r="B9" s="1">
        <v>3</v>
      </c>
      <c r="C9" s="25">
        <f ca="1">IFERROR($AE$2*Tableau432623245[[#This Row],[   ]]+(1-$AE$2)*Tableau432623245[[#This Row],[    ]],"-")</f>
        <v>0.61117647058823521</v>
      </c>
      <c r="D9" s="24">
        <f ca="1">IFERROR(IF(Tableau432623245[[#This Row],[ ]]&lt;&gt;0,MROUND(Tableau432623245[[#This Row],[ ]]*20,0.5),"ABS"),"-")</f>
        <v>12</v>
      </c>
      <c r="E9" s="18" t="s">
        <v>75</v>
      </c>
      <c r="F9" s="17" t="s">
        <v>76</v>
      </c>
      <c r="G9" s="16"/>
      <c r="H9" s="15">
        <f t="shared" ca="1" si="0"/>
        <v>24</v>
      </c>
      <c r="I9" s="15">
        <f t="shared" ca="1" si="0"/>
        <v>14</v>
      </c>
      <c r="J9" s="15">
        <f t="shared" ca="1" si="0"/>
        <v>36</v>
      </c>
      <c r="K9" s="15">
        <f t="shared" ca="1" si="0"/>
        <v>13</v>
      </c>
      <c r="L9" s="15">
        <f t="shared" ca="1" si="0"/>
        <v>7</v>
      </c>
      <c r="M9" s="15" t="s">
        <v>4</v>
      </c>
      <c r="N9" s="15" t="s">
        <v>4</v>
      </c>
      <c r="O9" s="15" t="s">
        <v>4</v>
      </c>
      <c r="P9" s="15" t="s">
        <v>4</v>
      </c>
      <c r="Q9" s="14" t="s">
        <v>4</v>
      </c>
      <c r="R9" s="13">
        <f t="shared" ca="1" si="1"/>
        <v>0.57647058823529407</v>
      </c>
      <c r="S9" s="13">
        <f t="shared" ca="1" si="2"/>
        <v>0.75</v>
      </c>
      <c r="T9" s="12">
        <f ca="1">SUMIF($H$2:$Q$2,"*UAA*",Tableau432623245[[#This Row],[21]:[Colonne5]])</f>
        <v>49</v>
      </c>
      <c r="U9" s="11">
        <f ca="1">SUMIFS($H$4:$Q$4,$H$2:$Q$2,"*UAA*",Tableau432623245[[#This Row],[21]:[Colonne5]],"&lt;&gt;-",Tableau432623245[[#This Row],[21]:[Colonne5]],"&lt;&gt;ABS")</f>
        <v>85</v>
      </c>
      <c r="V9" s="10">
        <f ca="1">SUM(Tableau432623245[[#This Row],[21]],Tableau432623245[[#This Row],[22]:[Colonne5]])-T9</f>
        <v>45</v>
      </c>
      <c r="W9" s="9">
        <f ca="1">SUMIFS($H$4:$Q$4,Tableau432623245[[#This Row],[21]:[Colonne5]],"&lt;&gt;-",Tableau432623245[[#This Row],[21]:[Colonne5]],"&lt;&gt;ABS")-Tableau432623245[[#This Row],[      ]]</f>
        <v>60</v>
      </c>
      <c r="Z9" s="1" t="s">
        <v>27</v>
      </c>
      <c r="AA9" s="1" t="str">
        <f>IF(ISERROR(SEARCH("UAA",K2)),"N","O")</f>
        <v>O</v>
      </c>
      <c r="AB9" s="33">
        <f ca="1">IFERROR(AVERAGE(K6:K26)/K4,"-")</f>
        <v>0.61632653061224496</v>
      </c>
      <c r="AC9" s="33">
        <f ca="1">IFERROR(_xlfn.STDEV.S(K6:K26)/K4,"-")</f>
        <v>0.2491735611112289</v>
      </c>
      <c r="AD9" s="32">
        <f ca="1">COUNTIF(Tableau432623245[11],"&lt;"&amp;K4/2)</f>
        <v>8</v>
      </c>
      <c r="AE9" s="32">
        <f ca="1">COUNTIF(Tableau432623245[11],"&lt;&gt;ABS")</f>
        <v>21</v>
      </c>
      <c r="AF9" s="31">
        <f t="shared" ca="1" si="3"/>
        <v>0.61904761904761907</v>
      </c>
      <c r="AH9" s="4"/>
    </row>
    <row r="10" spans="2:34" ht="22.5" customHeight="1" x14ac:dyDescent="0.25">
      <c r="B10" s="1">
        <v>4</v>
      </c>
      <c r="C10" s="20">
        <f ca="1">IFERROR($AE$2*Tableau432623245[[#This Row],[   ]]+(1-$AE$2)*Tableau432623245[[#This Row],[    ]],"-")</f>
        <v>0.60882352941176476</v>
      </c>
      <c r="D10" s="19">
        <f ca="1">IFERROR(IF(Tableau432623245[[#This Row],[ ]]&lt;&gt;0,MROUND(Tableau432623245[[#This Row],[ ]]*20,0.5),"ABS"),"-")</f>
        <v>12</v>
      </c>
      <c r="E10" s="18" t="s">
        <v>77</v>
      </c>
      <c r="F10" s="17" t="s">
        <v>78</v>
      </c>
      <c r="G10" s="16"/>
      <c r="H10" s="15">
        <f t="shared" ca="1" si="0"/>
        <v>13</v>
      </c>
      <c r="I10" s="15">
        <f t="shared" ca="1" si="0"/>
        <v>9</v>
      </c>
      <c r="J10" s="15">
        <f t="shared" ca="1" si="0"/>
        <v>19</v>
      </c>
      <c r="K10" s="15">
        <f t="shared" ca="1" si="0"/>
        <v>34</v>
      </c>
      <c r="L10" s="15">
        <f t="shared" ca="1" si="0"/>
        <v>11</v>
      </c>
      <c r="M10" s="15" t="s">
        <v>4</v>
      </c>
      <c r="N10" s="15" t="s">
        <v>4</v>
      </c>
      <c r="O10" s="15" t="s">
        <v>4</v>
      </c>
      <c r="P10" s="15" t="s">
        <v>4</v>
      </c>
      <c r="Q10" s="14" t="s">
        <v>4</v>
      </c>
      <c r="R10" s="13">
        <f t="shared" ca="1" si="1"/>
        <v>0.62352941176470589</v>
      </c>
      <c r="S10" s="13">
        <f t="shared" ca="1" si="2"/>
        <v>0.55000000000000004</v>
      </c>
      <c r="T10" s="12">
        <f ca="1">SUMIF($H$2:$Q$2,"*UAA*",Tableau432623245[[#This Row],[21]:[Colonne5]])</f>
        <v>53</v>
      </c>
      <c r="U10" s="11">
        <f ca="1">SUMIFS($H$4:$Q$4,$H$2:$Q$2,"*UAA*",Tableau432623245[[#This Row],[21]:[Colonne5]],"&lt;&gt;-",Tableau432623245[[#This Row],[21]:[Colonne5]],"&lt;&gt;ABS")</f>
        <v>85</v>
      </c>
      <c r="V10" s="10">
        <f ca="1">SUM(Tableau432623245[[#This Row],[21]],Tableau432623245[[#This Row],[22]:[Colonne5]])-T10</f>
        <v>33</v>
      </c>
      <c r="W10" s="9">
        <f ca="1">SUMIFS($H$4:$Q$4,Tableau432623245[[#This Row],[21]:[Colonne5]],"&lt;&gt;-",Tableau432623245[[#This Row],[21]:[Colonne5]],"&lt;&gt;ABS")-Tableau432623245[[#This Row],[      ]]</f>
        <v>60</v>
      </c>
      <c r="Z10" s="1" t="s">
        <v>26</v>
      </c>
      <c r="AA10" s="1" t="str">
        <f>IF(ISERROR(SEARCH("UAA",L2)),"N","O")</f>
        <v>N</v>
      </c>
      <c r="AB10" s="33">
        <f ca="1">IFERROR(AVERAGE(L6:L26)/L4,"-")</f>
        <v>0.65396825396825398</v>
      </c>
      <c r="AC10" s="33">
        <f ca="1">IFERROR(_xlfn.STDEV.S(L6:L26)/L4,"-")</f>
        <v>0.23534282097876572</v>
      </c>
      <c r="AD10" s="32">
        <f ca="1">COUNTIF(Tableau432623245[23],"&lt;"&amp;L4/2)</f>
        <v>7</v>
      </c>
      <c r="AE10" s="32">
        <f ca="1">COUNTIF(Tableau432623245[23],"&lt;&gt;ABS")</f>
        <v>21</v>
      </c>
      <c r="AF10" s="31">
        <f t="shared" ca="1" si="3"/>
        <v>0.66666666666666674</v>
      </c>
      <c r="AH10" s="4"/>
    </row>
    <row r="11" spans="2:34" ht="22.5" customHeight="1" x14ac:dyDescent="0.25">
      <c r="B11" s="1">
        <v>5</v>
      </c>
      <c r="C11" s="25">
        <f ca="1">IFERROR($AE$2*Tableau432623245[[#This Row],[   ]]+(1-$AE$2)*Tableau432623245[[#This Row],[    ]],"-")</f>
        <v>0.61098039215686273</v>
      </c>
      <c r="D11" s="24">
        <f ca="1">IFERROR(IF(Tableau432623245[[#This Row],[ ]]&lt;&gt;0,MROUND(Tableau432623245[[#This Row],[ ]]*20,0.5),"ABS"),"-")</f>
        <v>12</v>
      </c>
      <c r="E11" s="18" t="s">
        <v>79</v>
      </c>
      <c r="F11" s="17" t="s">
        <v>80</v>
      </c>
      <c r="G11" s="16"/>
      <c r="H11" s="15">
        <f t="shared" ca="1" si="0"/>
        <v>9</v>
      </c>
      <c r="I11" s="15">
        <f t="shared" ca="1" si="0"/>
        <v>12</v>
      </c>
      <c r="J11" s="15">
        <f t="shared" ca="1" si="0"/>
        <v>46</v>
      </c>
      <c r="K11" s="15">
        <f t="shared" ca="1" si="0"/>
        <v>9</v>
      </c>
      <c r="L11" s="15">
        <f t="shared" ca="1" si="0"/>
        <v>7</v>
      </c>
      <c r="M11" s="15" t="s">
        <v>4</v>
      </c>
      <c r="N11" s="15" t="s">
        <v>4</v>
      </c>
      <c r="O11" s="15" t="s">
        <v>4</v>
      </c>
      <c r="P11" s="15" t="s">
        <v>4</v>
      </c>
      <c r="Q11" s="14" t="s">
        <v>4</v>
      </c>
      <c r="R11" s="13">
        <f t="shared" ca="1" si="1"/>
        <v>0.6470588235294118</v>
      </c>
      <c r="S11" s="13">
        <f t="shared" ca="1" si="2"/>
        <v>0.46666666666666667</v>
      </c>
      <c r="T11" s="12">
        <f ca="1">SUMIF($H$2:$Q$2,"*UAA*",Tableau432623245[[#This Row],[21]:[Colonne5]])</f>
        <v>55</v>
      </c>
      <c r="U11" s="11">
        <f ca="1">SUMIFS($H$4:$Q$4,$H$2:$Q$2,"*UAA*",Tableau432623245[[#This Row],[21]:[Colonne5]],"&lt;&gt;-",Tableau432623245[[#This Row],[21]:[Colonne5]],"&lt;&gt;ABS")</f>
        <v>85</v>
      </c>
      <c r="V11" s="10">
        <f ca="1">SUM(Tableau432623245[[#This Row],[21]],Tableau432623245[[#This Row],[22]:[Colonne5]])-T11</f>
        <v>28</v>
      </c>
      <c r="W11" s="9">
        <f ca="1">SUMIFS($H$4:$Q$4,Tableau432623245[[#This Row],[21]:[Colonne5]],"&lt;&gt;-",Tableau432623245[[#This Row],[21]:[Colonne5]],"&lt;&gt;ABS")-Tableau432623245[[#This Row],[      ]]</f>
        <v>60</v>
      </c>
      <c r="Z11" s="1" t="s">
        <v>25</v>
      </c>
      <c r="AA11" s="1" t="str">
        <f>IF(ISERROR(SEARCH("UAA",M2)),"N","O")</f>
        <v>N</v>
      </c>
      <c r="AB11" s="33" t="str">
        <f>IFERROR(AVERAGE(M6:M26)/M4, "-")</f>
        <v>-</v>
      </c>
      <c r="AC11" s="33" t="str">
        <f>IFERROR(_xlfn.STDEV.S(M6:M26)/M4,"-")</f>
        <v>-</v>
      </c>
      <c r="AD11" s="32">
        <f>COUNTIF(Tableau432623245[Colonne1],"&lt;"&amp;M4/2)</f>
        <v>0</v>
      </c>
      <c r="AE11" s="32">
        <f>COUNTIF(Tableau432623245[Colonne1],"&lt;&gt;ABS")</f>
        <v>21</v>
      </c>
      <c r="AF11" s="31">
        <f t="shared" si="3"/>
        <v>1</v>
      </c>
      <c r="AH11" s="4"/>
    </row>
    <row r="12" spans="2:34" ht="22.5" customHeight="1" x14ac:dyDescent="0.25">
      <c r="B12" s="1">
        <v>6</v>
      </c>
      <c r="C12" s="25">
        <f ca="1">IFERROR($AE$2*Tableau432623245[[#This Row],[   ]]+(1-$AE$2)*Tableau432623245[[#This Row],[    ]],"-")</f>
        <v>0.57333333333333325</v>
      </c>
      <c r="D12" s="24">
        <f ca="1">IFERROR(IF(Tableau432623245[[#This Row],[ ]]&lt;&gt;0,MROUND(Tableau432623245[[#This Row],[ ]]*20,0.5),"ABS"),"-")</f>
        <v>11.5</v>
      </c>
      <c r="E12" s="18" t="s">
        <v>81</v>
      </c>
      <c r="F12" s="17" t="s">
        <v>82</v>
      </c>
      <c r="G12" s="16"/>
      <c r="H12" s="15">
        <f t="shared" ca="1" si="0"/>
        <v>16</v>
      </c>
      <c r="I12" s="15">
        <f t="shared" ca="1" si="0"/>
        <v>5</v>
      </c>
      <c r="J12" s="15">
        <f t="shared" ca="1" si="0"/>
        <v>26</v>
      </c>
      <c r="K12" s="15">
        <f t="shared" ca="1" si="0"/>
        <v>25</v>
      </c>
      <c r="L12" s="15">
        <f t="shared" ca="1" si="0"/>
        <v>7</v>
      </c>
      <c r="M12" s="15" t="s">
        <v>4</v>
      </c>
      <c r="N12" s="15" t="s">
        <v>4</v>
      </c>
      <c r="O12" s="15" t="s">
        <v>4</v>
      </c>
      <c r="P12" s="15" t="s">
        <v>4</v>
      </c>
      <c r="Q12" s="14" t="s">
        <v>4</v>
      </c>
      <c r="R12" s="13">
        <f t="shared" ca="1" si="1"/>
        <v>0.6</v>
      </c>
      <c r="S12" s="13">
        <f t="shared" ca="1" si="2"/>
        <v>0.46666666666666667</v>
      </c>
      <c r="T12" s="12">
        <f ca="1">SUMIF($H$2:$Q$2,"*UAA*",Tableau432623245[[#This Row],[21]:[Colonne5]])</f>
        <v>51</v>
      </c>
      <c r="U12" s="11">
        <f ca="1">SUMIFS($H$4:$Q$4,$H$2:$Q$2,"*UAA*",Tableau432623245[[#This Row],[21]:[Colonne5]],"&lt;&gt;-",Tableau432623245[[#This Row],[21]:[Colonne5]],"&lt;&gt;ABS")</f>
        <v>85</v>
      </c>
      <c r="V12" s="10">
        <f ca="1">SUM(Tableau432623245[[#This Row],[21]],Tableau432623245[[#This Row],[22]:[Colonne5]])-T12</f>
        <v>28</v>
      </c>
      <c r="W12" s="9">
        <f ca="1">SUMIFS($H$4:$Q$4,Tableau432623245[[#This Row],[21]:[Colonne5]],"&lt;&gt;-",Tableau432623245[[#This Row],[21]:[Colonne5]],"&lt;&gt;ABS")-Tableau432623245[[#This Row],[      ]]</f>
        <v>60</v>
      </c>
      <c r="Z12" s="1" t="s">
        <v>24</v>
      </c>
      <c r="AA12" s="1" t="str">
        <f>IF(ISERROR(SEARCH("UAA",N2)),"N","O")</f>
        <v>N</v>
      </c>
      <c r="AB12" s="33" t="str">
        <f>IFERROR(AVERAGE(N6:N26)/N4, "-")</f>
        <v>-</v>
      </c>
      <c r="AC12" s="33" t="str">
        <f>IFERROR(_xlfn.STDEV.S(N6:N26)/N4,"-")</f>
        <v>-</v>
      </c>
      <c r="AD12" s="32">
        <f>COUNTIF(Tableau432623245[Colonne2],"&lt;"&amp;N4/2)</f>
        <v>0</v>
      </c>
      <c r="AE12" s="32">
        <f>COUNTIF(Tableau432623245[Colonne2],"&lt;&gt;ABS")</f>
        <v>21</v>
      </c>
      <c r="AF12" s="31">
        <f t="shared" si="3"/>
        <v>1</v>
      </c>
      <c r="AH12" s="4"/>
    </row>
    <row r="13" spans="2:34" ht="22.5" customHeight="1" x14ac:dyDescent="0.25">
      <c r="B13" s="1">
        <v>7</v>
      </c>
      <c r="C13" s="20">
        <f ca="1">IFERROR($AE$2*Tableau432623245[[#This Row],[   ]]+(1-$AE$2)*Tableau432623245[[#This Row],[    ]],"-")</f>
        <v>0.88176470588235301</v>
      </c>
      <c r="D13" s="19">
        <f ca="1">IFERROR(IF(Tableau432623245[[#This Row],[ ]]&lt;&gt;0,MROUND(Tableau432623245[[#This Row],[ ]]*20,0.5),"ABS"),"-")</f>
        <v>17.5</v>
      </c>
      <c r="E13" s="18" t="s">
        <v>83</v>
      </c>
      <c r="F13" s="17" t="s">
        <v>84</v>
      </c>
      <c r="G13" s="16"/>
      <c r="H13" s="15">
        <f t="shared" ca="1" si="0"/>
        <v>13</v>
      </c>
      <c r="I13" s="15">
        <f t="shared" ca="1" si="0"/>
        <v>6</v>
      </c>
      <c r="J13" s="15">
        <f t="shared" ca="1" si="0"/>
        <v>48</v>
      </c>
      <c r="K13" s="15">
        <f t="shared" ca="1" si="0"/>
        <v>34</v>
      </c>
      <c r="L13" s="15">
        <f t="shared" ca="1" si="0"/>
        <v>14</v>
      </c>
      <c r="M13" s="15" t="s">
        <v>4</v>
      </c>
      <c r="N13" s="15" t="s">
        <v>4</v>
      </c>
      <c r="O13" s="15" t="s">
        <v>4</v>
      </c>
      <c r="P13" s="15" t="s">
        <v>4</v>
      </c>
      <c r="Q13" s="14" t="s">
        <v>4</v>
      </c>
      <c r="R13" s="13">
        <f t="shared" ca="1" si="1"/>
        <v>0.96470588235294119</v>
      </c>
      <c r="S13" s="13">
        <f t="shared" ca="1" si="2"/>
        <v>0.55000000000000004</v>
      </c>
      <c r="T13" s="12">
        <f ca="1">SUMIF($H$2:$Q$2,"*UAA*",Tableau432623245[[#This Row],[21]:[Colonne5]])</f>
        <v>82</v>
      </c>
      <c r="U13" s="11">
        <f ca="1">SUMIFS($H$4:$Q$4,$H$2:$Q$2,"*UAA*",Tableau432623245[[#This Row],[21]:[Colonne5]],"&lt;&gt;-",Tableau432623245[[#This Row],[21]:[Colonne5]],"&lt;&gt;ABS")</f>
        <v>85</v>
      </c>
      <c r="V13" s="10">
        <f ca="1">SUM(Tableau432623245[[#This Row],[21]],Tableau432623245[[#This Row],[22]:[Colonne5]])-T13</f>
        <v>33</v>
      </c>
      <c r="W13" s="9">
        <f ca="1">SUMIFS($H$4:$Q$4,Tableau432623245[[#This Row],[21]:[Colonne5]],"&lt;&gt;-",Tableau432623245[[#This Row],[21]:[Colonne5]],"&lt;&gt;ABS")-Tableau432623245[[#This Row],[      ]]</f>
        <v>60</v>
      </c>
      <c r="Z13" s="1" t="s">
        <v>23</v>
      </c>
      <c r="AA13" s="1" t="str">
        <f>IF(ISERROR(SEARCH("UAA",O2)),"N","O")</f>
        <v>N</v>
      </c>
      <c r="AB13" s="33" t="str">
        <f>IFERROR(AVERAGE(O6:O26)/O4, "-")</f>
        <v>-</v>
      </c>
      <c r="AC13" s="33" t="str">
        <f>IFERROR(_xlfn.STDEV.S(O6:O26)/O4,"-")</f>
        <v>-</v>
      </c>
      <c r="AD13" s="32">
        <f>COUNTIF(Tableau432623245[Colonne3],"&lt;"&amp;O4/2)</f>
        <v>0</v>
      </c>
      <c r="AE13" s="32">
        <f>COUNTIF(Tableau432623245[Colonne3],"&lt;&gt;ABS")</f>
        <v>21</v>
      </c>
      <c r="AF13" s="31">
        <f t="shared" si="3"/>
        <v>1</v>
      </c>
      <c r="AH13" s="4"/>
    </row>
    <row r="14" spans="2:34" ht="22.5" customHeight="1" x14ac:dyDescent="0.25">
      <c r="B14" s="1">
        <v>9</v>
      </c>
      <c r="C14" s="25">
        <f ca="1">IFERROR($AE$2*Tableau432623245[[#This Row],[   ]]+(1-$AE$2)*Tableau432623245[[#This Row],[    ]],"-")</f>
        <v>0.81313725490196087</v>
      </c>
      <c r="D14" s="24">
        <f ca="1">IFERROR(IF(Tableau432623245[[#This Row],[ ]]&lt;&gt;0,MROUND(Tableau432623245[[#This Row],[ ]]*20,0.5),"ABS"),"-")</f>
        <v>16.5</v>
      </c>
      <c r="E14" s="18" t="s">
        <v>85</v>
      </c>
      <c r="F14" s="17" t="s">
        <v>86</v>
      </c>
      <c r="G14" s="16"/>
      <c r="H14" s="15">
        <f t="shared" ca="1" si="0"/>
        <v>17</v>
      </c>
      <c r="I14" s="15">
        <f t="shared" ca="1" si="0"/>
        <v>5</v>
      </c>
      <c r="J14" s="15">
        <f t="shared" ca="1" si="0"/>
        <v>45</v>
      </c>
      <c r="K14" s="15">
        <f t="shared" ca="1" si="0"/>
        <v>29</v>
      </c>
      <c r="L14" s="15">
        <f t="shared" ca="1" si="0"/>
        <v>13</v>
      </c>
      <c r="M14" s="15" t="s">
        <v>4</v>
      </c>
      <c r="N14" s="15" t="s">
        <v>4</v>
      </c>
      <c r="O14" s="15" t="s">
        <v>4</v>
      </c>
      <c r="P14" s="15" t="s">
        <v>4</v>
      </c>
      <c r="Q14" s="14" t="s">
        <v>4</v>
      </c>
      <c r="R14" s="13">
        <f t="shared" ca="1" si="1"/>
        <v>0.87058823529411766</v>
      </c>
      <c r="S14" s="13">
        <f t="shared" ca="1" si="2"/>
        <v>0.58333333333333337</v>
      </c>
      <c r="T14" s="12">
        <f ca="1">SUMIF($H$2:$Q$2,"*UAA*",Tableau432623245[[#This Row],[21]:[Colonne5]])</f>
        <v>74</v>
      </c>
      <c r="U14" s="11">
        <f ca="1">SUMIFS($H$4:$Q$4,$H$2:$Q$2,"*UAA*",Tableau432623245[[#This Row],[21]:[Colonne5]],"&lt;&gt;-",Tableau432623245[[#This Row],[21]:[Colonne5]],"&lt;&gt;ABS")</f>
        <v>85</v>
      </c>
      <c r="V14" s="10">
        <f ca="1">SUM(Tableau432623245[[#This Row],[21]],Tableau432623245[[#This Row],[22]:[Colonne5]])-T14</f>
        <v>35</v>
      </c>
      <c r="W14" s="9">
        <f ca="1">SUMIFS($H$4:$Q$4,Tableau432623245[[#This Row],[21]:[Colonne5]],"&lt;&gt;-",Tableau432623245[[#This Row],[21]:[Colonne5]],"&lt;&gt;ABS")-Tableau432623245[[#This Row],[      ]]</f>
        <v>60</v>
      </c>
      <c r="Z14" s="1" t="s">
        <v>22</v>
      </c>
      <c r="AA14" s="1" t="str">
        <f>IF(ISERROR(SEARCH("UAA",P2)),"N","O")</f>
        <v>N</v>
      </c>
      <c r="AB14" s="33" t="str">
        <f>IFERROR(AVERAGE(P6:P26)/P4, "-")</f>
        <v>-</v>
      </c>
      <c r="AC14" s="33" t="str">
        <f>IFERROR(_xlfn.STDEV.S(P6:P26)/P4,"-")</f>
        <v>-</v>
      </c>
      <c r="AD14" s="32">
        <f>COUNTIF(Tableau432623245[Colonne4],"&lt;"&amp;P4/2)</f>
        <v>0</v>
      </c>
      <c r="AE14" s="32">
        <f>COUNTIF(Tableau432623245[Colonne4],"&lt;&gt;ABS")</f>
        <v>21</v>
      </c>
      <c r="AF14" s="31">
        <f t="shared" si="3"/>
        <v>1</v>
      </c>
      <c r="AH14" s="4"/>
    </row>
    <row r="15" spans="2:34" ht="22.5" customHeight="1" thickBot="1" x14ac:dyDescent="0.3">
      <c r="B15" s="1">
        <v>10</v>
      </c>
      <c r="C15" s="25">
        <f ca="1">IFERROR($AE$2*Tableau432623245[[#This Row],[   ]]+(1-$AE$2)*Tableau432623245[[#This Row],[    ]],"-")</f>
        <v>0.46058823529411763</v>
      </c>
      <c r="D15" s="24">
        <f ca="1">IFERROR(IF(Tableau432623245[[#This Row],[ ]]&lt;&gt;0,MROUND(Tableau432623245[[#This Row],[ ]]*20,0.5),"ABS"),"-")</f>
        <v>9</v>
      </c>
      <c r="E15" s="18" t="s">
        <v>87</v>
      </c>
      <c r="F15" s="17" t="s">
        <v>88</v>
      </c>
      <c r="G15" s="16"/>
      <c r="H15" s="15">
        <f t="shared" ca="1" si="0"/>
        <v>19</v>
      </c>
      <c r="I15" s="15">
        <f t="shared" ca="1" si="0"/>
        <v>20</v>
      </c>
      <c r="J15" s="15">
        <f t="shared" ca="1" si="0"/>
        <v>24</v>
      </c>
      <c r="K15" s="15">
        <f t="shared" ca="1" si="0"/>
        <v>9</v>
      </c>
      <c r="L15" s="15">
        <f t="shared" ca="1" si="0"/>
        <v>6</v>
      </c>
      <c r="M15" s="15" t="s">
        <v>4</v>
      </c>
      <c r="N15" s="15" t="s">
        <v>4</v>
      </c>
      <c r="O15" s="15" t="s">
        <v>4</v>
      </c>
      <c r="P15" s="15" t="s">
        <v>4</v>
      </c>
      <c r="Q15" s="14" t="s">
        <v>4</v>
      </c>
      <c r="R15" s="13">
        <f t="shared" ca="1" si="1"/>
        <v>0.38823529411764707</v>
      </c>
      <c r="S15" s="13">
        <f t="shared" ca="1" si="2"/>
        <v>0.75</v>
      </c>
      <c r="T15" s="12">
        <f ca="1">SUMIF($H$2:$Q$2,"*UAA*",Tableau432623245[[#This Row],[21]:[Colonne5]])</f>
        <v>33</v>
      </c>
      <c r="U15" s="11">
        <f ca="1">SUMIFS($H$4:$Q$4,$H$2:$Q$2,"*UAA*",Tableau432623245[[#This Row],[21]:[Colonne5]],"&lt;&gt;-",Tableau432623245[[#This Row],[21]:[Colonne5]],"&lt;&gt;ABS")</f>
        <v>85</v>
      </c>
      <c r="V15" s="10">
        <f ca="1">SUM(Tableau432623245[[#This Row],[21]],Tableau432623245[[#This Row],[22]:[Colonne5]])-T15</f>
        <v>45</v>
      </c>
      <c r="W15" s="9">
        <f ca="1">SUMIFS($H$4:$Q$4,Tableau432623245[[#This Row],[21]:[Colonne5]],"&lt;&gt;-",Tableau432623245[[#This Row],[21]:[Colonne5]],"&lt;&gt;ABS")-Tableau432623245[[#This Row],[      ]]</f>
        <v>60</v>
      </c>
      <c r="Z15" s="1" t="s">
        <v>21</v>
      </c>
      <c r="AA15" s="1" t="str">
        <f>IF(ISERROR(SEARCH("UAA",Q2)),"N","O")</f>
        <v>N</v>
      </c>
      <c r="AB15" s="33" t="str">
        <f>IFERROR(AVERAGE(Q6:Q26)/Q4, "-")</f>
        <v>-</v>
      </c>
      <c r="AC15" s="33" t="str">
        <f>IFERROR(_xlfn.STDEV.S(Q6:Q26)/Q4,"-")</f>
        <v>-</v>
      </c>
      <c r="AD15" s="32">
        <f>COUNTIF(Tableau432623245[Colonne5],"&lt;"&amp;Q4/2)</f>
        <v>0</v>
      </c>
      <c r="AE15" s="32">
        <f>COUNTIF(Tableau432623245[Colonne5],"&lt;&gt;ABS")</f>
        <v>21</v>
      </c>
      <c r="AF15" s="31">
        <f t="shared" si="3"/>
        <v>1</v>
      </c>
      <c r="AH15" s="4"/>
    </row>
    <row r="16" spans="2:34" ht="22.5" customHeight="1" x14ac:dyDescent="0.25">
      <c r="B16" s="1">
        <v>11</v>
      </c>
      <c r="C16" s="25">
        <f ca="1">IFERROR($AE$2*Tableau432623245[[#This Row],[   ]]+(1-$AE$2)*Tableau432623245[[#This Row],[    ]],"-")</f>
        <v>0.77000000000000013</v>
      </c>
      <c r="D16" s="24">
        <f ca="1">IFERROR(IF(Tableau432623245[[#This Row],[ ]]&lt;&gt;0,MROUND(Tableau432623245[[#This Row],[ ]]*20,0.5),"ABS"),"-")</f>
        <v>15.5</v>
      </c>
      <c r="E16" s="18" t="s">
        <v>89</v>
      </c>
      <c r="F16" s="17" t="s">
        <v>90</v>
      </c>
      <c r="G16" s="16"/>
      <c r="H16" s="15">
        <f t="shared" ref="H16:L26" ca="1" si="4">RANDBETWEEN(H$4/4,H$4)</f>
        <v>12</v>
      </c>
      <c r="I16" s="15">
        <f t="shared" ca="1" si="4"/>
        <v>19</v>
      </c>
      <c r="J16" s="15">
        <f t="shared" ca="1" si="4"/>
        <v>39</v>
      </c>
      <c r="K16" s="15">
        <f t="shared" ca="1" si="4"/>
        <v>29</v>
      </c>
      <c r="L16" s="15">
        <f t="shared" ca="1" si="4"/>
        <v>8</v>
      </c>
      <c r="M16" s="15" t="s">
        <v>4</v>
      </c>
      <c r="N16" s="15" t="s">
        <v>4</v>
      </c>
      <c r="O16" s="15" t="s">
        <v>4</v>
      </c>
      <c r="P16" s="15" t="s">
        <v>4</v>
      </c>
      <c r="Q16" s="14" t="s">
        <v>4</v>
      </c>
      <c r="R16" s="13">
        <f t="shared" ca="1" si="1"/>
        <v>0.8</v>
      </c>
      <c r="S16" s="13">
        <f t="shared" ca="1" si="2"/>
        <v>0.65</v>
      </c>
      <c r="T16" s="12">
        <f ca="1">SUMIF($H$2:$Q$2,"*UAA*",Tableau432623245[[#This Row],[21]:[Colonne5]])</f>
        <v>68</v>
      </c>
      <c r="U16" s="11">
        <f ca="1">SUMIFS($H$4:$Q$4,$H$2:$Q$2,"*UAA*",Tableau432623245[[#This Row],[21]:[Colonne5]],"&lt;&gt;-",Tableau432623245[[#This Row],[21]:[Colonne5]],"&lt;&gt;ABS")</f>
        <v>85</v>
      </c>
      <c r="V16" s="10">
        <f ca="1">SUM(Tableau432623245[[#This Row],[21]],Tableau432623245[[#This Row],[22]:[Colonne5]])-T16</f>
        <v>39</v>
      </c>
      <c r="W16" s="9">
        <f ca="1">SUMIFS($H$4:$Q$4,Tableau432623245[[#This Row],[21]:[Colonne5]],"&lt;&gt;-",Tableau432623245[[#This Row],[21]:[Colonne5]],"&lt;&gt;ABS")-Tableau432623245[[#This Row],[      ]]</f>
        <v>60</v>
      </c>
      <c r="Z16" s="96" t="s">
        <v>20</v>
      </c>
      <c r="AA16" s="97"/>
      <c r="AB16" s="97"/>
      <c r="AC16" s="98"/>
      <c r="AD16" s="30">
        <f ca="1">COUNTIF(C6:C26,"&lt;50%")</f>
        <v>4</v>
      </c>
      <c r="AE16" s="30">
        <f>COUNT(B6:B26)</f>
        <v>21</v>
      </c>
      <c r="AF16" s="29">
        <f t="shared" ca="1" si="3"/>
        <v>0.80952380952380953</v>
      </c>
      <c r="AH16" s="4"/>
    </row>
    <row r="17" spans="1:34" ht="22.5" customHeight="1" thickBot="1" x14ac:dyDescent="0.3">
      <c r="B17" s="1">
        <v>12</v>
      </c>
      <c r="C17" s="20">
        <f ca="1">IFERROR($AE$2*Tableau432623245[[#This Row],[   ]]+(1-$AE$2)*Tableau432623245[[#This Row],[    ]],"-")</f>
        <v>0.67039215686274511</v>
      </c>
      <c r="D17" s="19">
        <f ca="1">IFERROR(IF(Tableau432623245[[#This Row],[ ]]&lt;&gt;0,MROUND(Tableau432623245[[#This Row],[ ]]*20,0.5),"ABS"),"-")</f>
        <v>13.5</v>
      </c>
      <c r="E17" s="18" t="s">
        <v>91</v>
      </c>
      <c r="F17" s="17" t="s">
        <v>92</v>
      </c>
      <c r="G17" s="16"/>
      <c r="H17" s="15">
        <f t="shared" ca="1" si="4"/>
        <v>20</v>
      </c>
      <c r="I17" s="15">
        <f t="shared" ca="1" si="4"/>
        <v>11</v>
      </c>
      <c r="J17" s="15">
        <f t="shared" ca="1" si="4"/>
        <v>41</v>
      </c>
      <c r="K17" s="15">
        <f t="shared" ca="1" si="4"/>
        <v>15</v>
      </c>
      <c r="L17" s="15">
        <f t="shared" ca="1" si="4"/>
        <v>12</v>
      </c>
      <c r="M17" s="28" t="s">
        <v>4</v>
      </c>
      <c r="N17" s="28" t="s">
        <v>4</v>
      </c>
      <c r="O17" s="28" t="s">
        <v>4</v>
      </c>
      <c r="P17" s="28" t="s">
        <v>4</v>
      </c>
      <c r="Q17" s="14" t="s">
        <v>4</v>
      </c>
      <c r="R17" s="13">
        <f t="shared" ca="1" si="1"/>
        <v>0.6588235294117647</v>
      </c>
      <c r="S17" s="13">
        <f t="shared" ca="1" si="2"/>
        <v>0.71666666666666667</v>
      </c>
      <c r="T17" s="12">
        <f ca="1">SUMIF($H$2:$Q$2,"*UAA*",Tableau432623245[[#This Row],[21]:[Colonne5]])</f>
        <v>56</v>
      </c>
      <c r="U17" s="11">
        <f ca="1">SUMIFS($H$4:$Q$4,$H$2:$Q$2,"*UAA*",Tableau432623245[[#This Row],[21]:[Colonne5]],"&lt;&gt;-",Tableau432623245[[#This Row],[21]:[Colonne5]],"&lt;&gt;ABS")</f>
        <v>85</v>
      </c>
      <c r="V17" s="10">
        <f ca="1">SUM(Tableau432623245[[#This Row],[21]],Tableau432623245[[#This Row],[22]:[Colonne5]])-T17</f>
        <v>43</v>
      </c>
      <c r="W17" s="9">
        <f ca="1">SUMIFS($H$4:$Q$4,Tableau432623245[[#This Row],[21]:[Colonne5]],"&lt;&gt;-",Tableau432623245[[#This Row],[21]:[Colonne5]],"&lt;&gt;ABS")-Tableau432623245[[#This Row],[      ]]</f>
        <v>60</v>
      </c>
      <c r="Z17" s="99" t="s">
        <v>19</v>
      </c>
      <c r="AA17" s="100"/>
      <c r="AB17" s="100"/>
      <c r="AC17" s="100"/>
      <c r="AD17" s="100"/>
      <c r="AE17" s="101"/>
      <c r="AF17" s="27">
        <f ca="1">1-_xlfn.NORM.DIST(50%,AC21,AC22,TRUE)</f>
        <v>0.82899913683681525</v>
      </c>
      <c r="AH17" s="4"/>
    </row>
    <row r="18" spans="1:34" ht="22.5" customHeight="1" thickBot="1" x14ac:dyDescent="0.3">
      <c r="B18" s="1">
        <v>13</v>
      </c>
      <c r="C18" s="20">
        <f ca="1">IFERROR($AE$2*Tableau432623245[[#This Row],[   ]]+(1-$AE$2)*Tableau432623245[[#This Row],[    ]],"-")</f>
        <v>0.47823529411764709</v>
      </c>
      <c r="D18" s="19">
        <f ca="1">IFERROR(IF(Tableau432623245[[#This Row],[ ]]&lt;&gt;0,MROUND(Tableau432623245[[#This Row],[ ]]*20,0.5),"ABS"),"-")</f>
        <v>9.5</v>
      </c>
      <c r="E18" s="18" t="s">
        <v>93</v>
      </c>
      <c r="F18" s="17" t="s">
        <v>94</v>
      </c>
      <c r="G18" s="16"/>
      <c r="H18" s="15">
        <f t="shared" ca="1" si="4"/>
        <v>13</v>
      </c>
      <c r="I18" s="15">
        <f t="shared" ca="1" si="4"/>
        <v>18</v>
      </c>
      <c r="J18" s="15">
        <f t="shared" ca="1" si="4"/>
        <v>28</v>
      </c>
      <c r="K18" s="15">
        <f t="shared" ca="1" si="4"/>
        <v>9</v>
      </c>
      <c r="L18" s="15">
        <f t="shared" ca="1" si="4"/>
        <v>8</v>
      </c>
      <c r="M18" s="15" t="s">
        <v>4</v>
      </c>
      <c r="N18" s="15" t="s">
        <v>4</v>
      </c>
      <c r="O18" s="15" t="s">
        <v>4</v>
      </c>
      <c r="P18" s="15" t="s">
        <v>4</v>
      </c>
      <c r="Q18" s="14" t="s">
        <v>4</v>
      </c>
      <c r="R18" s="13">
        <f t="shared" ca="1" si="1"/>
        <v>0.43529411764705883</v>
      </c>
      <c r="S18" s="13">
        <f t="shared" ca="1" si="2"/>
        <v>0.65</v>
      </c>
      <c r="T18" s="12">
        <f ca="1">SUMIF($H$2:$Q$2,"*UAA*",Tableau432623245[[#This Row],[21]:[Colonne5]])</f>
        <v>37</v>
      </c>
      <c r="U18" s="11">
        <f ca="1">SUMIFS($H$4:$Q$4,$H$2:$Q$2,"*UAA*",Tableau432623245[[#This Row],[21]:[Colonne5]],"&lt;&gt;-",Tableau432623245[[#This Row],[21]:[Colonne5]],"&lt;&gt;ABS")</f>
        <v>85</v>
      </c>
      <c r="V18" s="10">
        <f ca="1">SUM(Tableau432623245[[#This Row],[21]],Tableau432623245[[#This Row],[22]:[Colonne5]])-T18</f>
        <v>39</v>
      </c>
      <c r="W18" s="9">
        <f ca="1">SUMIFS($H$4:$Q$4,Tableau432623245[[#This Row],[21]:[Colonne5]],"&lt;&gt;-",Tableau432623245[[#This Row],[21]:[Colonne5]],"&lt;&gt;ABS")-Tableau432623245[[#This Row],[      ]]</f>
        <v>60</v>
      </c>
      <c r="AH18" s="4"/>
    </row>
    <row r="19" spans="1:34" ht="22.5" customHeight="1" x14ac:dyDescent="0.25">
      <c r="B19" s="1">
        <v>14</v>
      </c>
      <c r="C19" s="20">
        <f ca="1">IFERROR($AE$2*Tableau432623245[[#This Row],[   ]]+(1-$AE$2)*Tableau432623245[[#This Row],[    ]],"-")</f>
        <v>0.65705882352941181</v>
      </c>
      <c r="D19" s="19">
        <f ca="1">IFERROR(IF(Tableau432623245[[#This Row],[ ]]&lt;&gt;0,MROUND(Tableau432623245[[#This Row],[ ]]*20,0.5),"ABS"),"-")</f>
        <v>13</v>
      </c>
      <c r="E19" s="18" t="s">
        <v>95</v>
      </c>
      <c r="F19" s="17" t="s">
        <v>96</v>
      </c>
      <c r="G19" s="16"/>
      <c r="H19" s="15">
        <f t="shared" ca="1" si="4"/>
        <v>14</v>
      </c>
      <c r="I19" s="15">
        <f t="shared" ca="1" si="4"/>
        <v>12</v>
      </c>
      <c r="J19" s="15">
        <f t="shared" ca="1" si="4"/>
        <v>32</v>
      </c>
      <c r="K19" s="15">
        <f t="shared" ca="1" si="4"/>
        <v>24</v>
      </c>
      <c r="L19" s="15">
        <f t="shared" ca="1" si="4"/>
        <v>13</v>
      </c>
      <c r="M19" s="15" t="s">
        <v>4</v>
      </c>
      <c r="N19" s="15" t="s">
        <v>4</v>
      </c>
      <c r="O19" s="15" t="s">
        <v>4</v>
      </c>
      <c r="P19" s="15" t="s">
        <v>4</v>
      </c>
      <c r="Q19" s="14" t="s">
        <v>4</v>
      </c>
      <c r="R19" s="13">
        <f t="shared" ca="1" si="1"/>
        <v>0.6588235294117647</v>
      </c>
      <c r="S19" s="13">
        <f t="shared" ca="1" si="2"/>
        <v>0.65</v>
      </c>
      <c r="T19" s="12">
        <f ca="1">SUMIF($H$2:$Q$2,"*UAA*",Tableau432623245[[#This Row],[21]:[Colonne5]])</f>
        <v>56</v>
      </c>
      <c r="U19" s="11">
        <f ca="1">SUMIFS($H$4:$Q$4,$H$2:$Q$2,"*UAA*",Tableau432623245[[#This Row],[21]:[Colonne5]],"&lt;&gt;-",Tableau432623245[[#This Row],[21]:[Colonne5]],"&lt;&gt;ABS")</f>
        <v>85</v>
      </c>
      <c r="V19" s="10">
        <f ca="1">SUM(Tableau432623245[[#This Row],[21]],Tableau432623245[[#This Row],[22]:[Colonne5]])-T19</f>
        <v>39</v>
      </c>
      <c r="W19" s="9">
        <f ca="1">SUMIFS($H$4:$Q$4,Tableau432623245[[#This Row],[21]:[Colonne5]],"&lt;&gt;-",Tableau432623245[[#This Row],[21]:[Colonne5]],"&lt;&gt;ABS")-Tableau432623245[[#This Row],[      ]]</f>
        <v>60</v>
      </c>
      <c r="Z19" s="102" t="s">
        <v>18</v>
      </c>
      <c r="AA19" s="103"/>
      <c r="AB19" s="103"/>
      <c r="AC19" s="103"/>
      <c r="AD19" s="104"/>
      <c r="AH19" s="4"/>
    </row>
    <row r="20" spans="1:34" ht="22.5" customHeight="1" thickBot="1" x14ac:dyDescent="0.3">
      <c r="B20" s="1">
        <v>15</v>
      </c>
      <c r="C20" s="20">
        <f ca="1">IFERROR($AE$2*Tableau432623245[[#This Row],[   ]]+(1-$AE$2)*Tableau432623245[[#This Row],[    ]],"-")</f>
        <v>0.77725490196078428</v>
      </c>
      <c r="D20" s="19">
        <f ca="1">IFERROR(IF(Tableau432623245[[#This Row],[ ]]&lt;&gt;0,MROUND(Tableau432623245[[#This Row],[ ]]*20,0.5),"ABS"),"-")</f>
        <v>15.5</v>
      </c>
      <c r="E20" s="18" t="s">
        <v>97</v>
      </c>
      <c r="F20" s="17" t="s">
        <v>98</v>
      </c>
      <c r="G20" s="16"/>
      <c r="H20" s="15">
        <f t="shared" ca="1" si="4"/>
        <v>23</v>
      </c>
      <c r="I20" s="15">
        <f t="shared" ca="1" si="4"/>
        <v>16</v>
      </c>
      <c r="J20" s="15">
        <f t="shared" ca="1" si="4"/>
        <v>39</v>
      </c>
      <c r="K20" s="15">
        <f t="shared" ca="1" si="4"/>
        <v>28</v>
      </c>
      <c r="L20" s="15">
        <f t="shared" ca="1" si="4"/>
        <v>5</v>
      </c>
      <c r="M20" s="15" t="s">
        <v>4</v>
      </c>
      <c r="N20" s="15" t="s">
        <v>4</v>
      </c>
      <c r="O20" s="15" t="s">
        <v>4</v>
      </c>
      <c r="P20" s="15" t="s">
        <v>4</v>
      </c>
      <c r="Q20" s="14" t="s">
        <v>4</v>
      </c>
      <c r="R20" s="13">
        <f t="shared" ca="1" si="1"/>
        <v>0.78823529411764703</v>
      </c>
      <c r="S20" s="13">
        <f t="shared" ca="1" si="2"/>
        <v>0.73333333333333328</v>
      </c>
      <c r="T20" s="12">
        <f ca="1">SUMIF($H$2:$Q$2,"*UAA*",Tableau432623245[[#This Row],[21]:[Colonne5]])</f>
        <v>67</v>
      </c>
      <c r="U20" s="11">
        <f ca="1">SUMIFS($H$4:$Q$4,$H$2:$Q$2,"*UAA*",Tableau432623245[[#This Row],[21]:[Colonne5]],"&lt;&gt;-",Tableau432623245[[#This Row],[21]:[Colonne5]],"&lt;&gt;ABS")</f>
        <v>85</v>
      </c>
      <c r="V20" s="10">
        <f ca="1">SUM(Tableau432623245[[#This Row],[21]],Tableau432623245[[#This Row],[22]:[Colonne5]])-T20</f>
        <v>44</v>
      </c>
      <c r="W20" s="9">
        <f ca="1">SUMIFS($H$4:$Q$4,Tableau432623245[[#This Row],[21]:[Colonne5]],"&lt;&gt;-",Tableau432623245[[#This Row],[21]:[Colonne5]],"&lt;&gt;ABS")-Tableau432623245[[#This Row],[      ]]</f>
        <v>60</v>
      </c>
      <c r="Z20" s="105"/>
      <c r="AA20" s="106"/>
      <c r="AB20" s="106"/>
      <c r="AC20" s="106"/>
      <c r="AD20" s="107"/>
      <c r="AH20" s="4"/>
    </row>
    <row r="21" spans="1:34" ht="22.5" customHeight="1" x14ac:dyDescent="0.25">
      <c r="B21" s="1">
        <v>16</v>
      </c>
      <c r="C21" s="20">
        <f ca="1">IFERROR($AE$2*Tableau432623245[[#This Row],[   ]]+(1-$AE$2)*Tableau432623245[[#This Row],[    ]],"-")</f>
        <v>0.4864705882352941</v>
      </c>
      <c r="D21" s="19">
        <f ca="1">IFERROR(IF(Tableau432623245[[#This Row],[ ]]&lt;&gt;0,MROUND(Tableau432623245[[#This Row],[ ]]*20,0.5),"ABS"),"-")</f>
        <v>9.5</v>
      </c>
      <c r="E21" s="18" t="s">
        <v>99</v>
      </c>
      <c r="F21" s="17" t="s">
        <v>100</v>
      </c>
      <c r="G21" s="16"/>
      <c r="H21" s="15">
        <f t="shared" ca="1" si="4"/>
        <v>20</v>
      </c>
      <c r="I21" s="15">
        <f t="shared" ca="1" si="4"/>
        <v>9</v>
      </c>
      <c r="J21" s="15">
        <f t="shared" ca="1" si="4"/>
        <v>28</v>
      </c>
      <c r="K21" s="15">
        <f t="shared" ca="1" si="4"/>
        <v>12</v>
      </c>
      <c r="L21" s="15">
        <f t="shared" ca="1" si="4"/>
        <v>4</v>
      </c>
      <c r="M21" s="15" t="s">
        <v>4</v>
      </c>
      <c r="N21" s="15" t="s">
        <v>4</v>
      </c>
      <c r="O21" s="15" t="s">
        <v>4</v>
      </c>
      <c r="P21" s="15" t="s">
        <v>4</v>
      </c>
      <c r="Q21" s="14" t="s">
        <v>4</v>
      </c>
      <c r="R21" s="13">
        <f t="shared" ca="1" si="1"/>
        <v>0.47058823529411764</v>
      </c>
      <c r="S21" s="13">
        <f t="shared" ca="1" si="2"/>
        <v>0.55000000000000004</v>
      </c>
      <c r="T21" s="12">
        <f ca="1">SUMIF($H$2:$Q$2,"*UAA*",Tableau432623245[[#This Row],[21]:[Colonne5]])</f>
        <v>40</v>
      </c>
      <c r="U21" s="11">
        <f ca="1">SUMIFS($H$4:$Q$4,$H$2:$Q$2,"*UAA*",Tableau432623245[[#This Row],[21]:[Colonne5]],"&lt;&gt;-",Tableau432623245[[#This Row],[21]:[Colonne5]],"&lt;&gt;ABS")</f>
        <v>85</v>
      </c>
      <c r="V21" s="10">
        <f ca="1">SUM(Tableau432623245[[#This Row],[21]],Tableau432623245[[#This Row],[22]:[Colonne5]])-T21</f>
        <v>33</v>
      </c>
      <c r="W21" s="9">
        <f ca="1">SUMIFS($H$4:$Q$4,Tableau432623245[[#This Row],[21]:[Colonne5]],"&lt;&gt;-",Tableau432623245[[#This Row],[21]:[Colonne5]],"&lt;&gt;ABS")-Tableau432623245[[#This Row],[      ]]</f>
        <v>60</v>
      </c>
      <c r="Z21" s="108" t="s">
        <v>17</v>
      </c>
      <c r="AA21" s="109"/>
      <c r="AB21" s="110"/>
      <c r="AC21" s="111">
        <f ca="1">AVERAGE(D6:D28)/20</f>
        <v>0.62142857142857144</v>
      </c>
      <c r="AD21" s="112"/>
      <c r="AG21" s="26"/>
      <c r="AH21" s="4"/>
    </row>
    <row r="22" spans="1:34" ht="22.5" customHeight="1" thickBot="1" x14ac:dyDescent="0.3">
      <c r="B22" s="1">
        <v>17</v>
      </c>
      <c r="C22" s="20">
        <f ca="1">IFERROR($AE$2*Tableau432623245[[#This Row],[   ]]+(1-$AE$2)*Tableau432623245[[#This Row],[    ]],"-")</f>
        <v>0.74294117647058822</v>
      </c>
      <c r="D22" s="19">
        <f ca="1">IFERROR(IF(Tableau432623245[[#This Row],[ ]]&lt;&gt;0,MROUND(Tableau432623245[[#This Row],[ ]]*20,0.5),"ABS"),"-")</f>
        <v>15</v>
      </c>
      <c r="E22" s="18" t="s">
        <v>101</v>
      </c>
      <c r="F22" s="17" t="s">
        <v>102</v>
      </c>
      <c r="G22" s="16"/>
      <c r="H22" s="15">
        <f t="shared" ca="1" si="4"/>
        <v>17</v>
      </c>
      <c r="I22" s="15">
        <f t="shared" ca="1" si="4"/>
        <v>17</v>
      </c>
      <c r="J22" s="15">
        <f t="shared" ca="1" si="4"/>
        <v>31</v>
      </c>
      <c r="K22" s="15">
        <f t="shared" ca="1" si="4"/>
        <v>32</v>
      </c>
      <c r="L22" s="15">
        <f t="shared" ca="1" si="4"/>
        <v>11</v>
      </c>
      <c r="M22" s="15" t="s">
        <v>4</v>
      </c>
      <c r="N22" s="15" t="s">
        <v>4</v>
      </c>
      <c r="O22" s="15" t="s">
        <v>4</v>
      </c>
      <c r="P22" s="15" t="s">
        <v>4</v>
      </c>
      <c r="Q22" s="14" t="s">
        <v>4</v>
      </c>
      <c r="R22" s="13">
        <f t="shared" ca="1" si="1"/>
        <v>0.74117647058823533</v>
      </c>
      <c r="S22" s="13">
        <f t="shared" ca="1" si="2"/>
        <v>0.75</v>
      </c>
      <c r="T22" s="12">
        <f ca="1">SUMIF($H$2:$Q$2,"*UAA*",Tableau432623245[[#This Row],[21]:[Colonne5]])</f>
        <v>63</v>
      </c>
      <c r="U22" s="11">
        <f ca="1">SUMIFS($H$4:$Q$4,$H$2:$Q$2,"*UAA*",Tableau432623245[[#This Row],[21]:[Colonne5]],"&lt;&gt;-",Tableau432623245[[#This Row],[21]:[Colonne5]],"&lt;&gt;ABS")</f>
        <v>85</v>
      </c>
      <c r="V22" s="10">
        <f ca="1">SUM(Tableau432623245[[#This Row],[21]],Tableau432623245[[#This Row],[22]:[Colonne5]])-T22</f>
        <v>45</v>
      </c>
      <c r="W22" s="9">
        <f ca="1">SUMIFS($H$4:$Q$4,Tableau432623245[[#This Row],[21]:[Colonne5]],"&lt;&gt;-",Tableau432623245[[#This Row],[21]:[Colonne5]],"&lt;&gt;ABS")-Tableau432623245[[#This Row],[      ]]</f>
        <v>60</v>
      </c>
      <c r="Z22" s="82" t="s">
        <v>16</v>
      </c>
      <c r="AA22" s="83"/>
      <c r="AB22" s="84"/>
      <c r="AC22" s="85">
        <f ca="1">_xlfn.STDEV.S(D6:D27)/20</f>
        <v>0.12779028579221963</v>
      </c>
      <c r="AD22" s="86"/>
      <c r="AH22" s="4"/>
    </row>
    <row r="23" spans="1:34" ht="22.5" customHeight="1" x14ac:dyDescent="0.25">
      <c r="B23" s="1">
        <v>18</v>
      </c>
      <c r="C23" s="25">
        <f ca="1">IFERROR($AE$2*Tableau432623245[[#This Row],[   ]]+(1-$AE$2)*Tableau432623245[[#This Row],[    ]],"-")</f>
        <v>0.64490196078431361</v>
      </c>
      <c r="D23" s="24">
        <f ca="1">IFERROR(IF(Tableau432623245[[#This Row],[ ]]&lt;&gt;0,MROUND(Tableau432623245[[#This Row],[ ]]*20,0.5),"ABS"),"-")</f>
        <v>13</v>
      </c>
      <c r="E23" s="18" t="s">
        <v>103</v>
      </c>
      <c r="F23" s="17" t="s">
        <v>104</v>
      </c>
      <c r="G23" s="16"/>
      <c r="H23" s="15">
        <f t="shared" ca="1" si="4"/>
        <v>10</v>
      </c>
      <c r="I23" s="15">
        <f t="shared" ca="1" si="4"/>
        <v>17</v>
      </c>
      <c r="J23" s="15">
        <f t="shared" ca="1" si="4"/>
        <v>42</v>
      </c>
      <c r="K23" s="15">
        <f t="shared" ca="1" si="4"/>
        <v>12</v>
      </c>
      <c r="L23" s="15">
        <f t="shared" ca="1" si="4"/>
        <v>14</v>
      </c>
      <c r="M23" s="15" t="s">
        <v>4</v>
      </c>
      <c r="N23" s="15" t="s">
        <v>4</v>
      </c>
      <c r="O23" s="15" t="s">
        <v>4</v>
      </c>
      <c r="P23" s="15" t="s">
        <v>4</v>
      </c>
      <c r="Q23" s="14" t="s">
        <v>4</v>
      </c>
      <c r="R23" s="13">
        <f t="shared" ca="1" si="1"/>
        <v>0.63529411764705879</v>
      </c>
      <c r="S23" s="13">
        <f t="shared" ca="1" si="2"/>
        <v>0.68333333333333335</v>
      </c>
      <c r="T23" s="12">
        <f ca="1">SUMIF($H$2:$Q$2,"*UAA*",Tableau432623245[[#This Row],[21]:[Colonne5]])</f>
        <v>54</v>
      </c>
      <c r="U23" s="11">
        <f ca="1">SUMIFS($H$4:$Q$4,$H$2:$Q$2,"*UAA*",Tableau432623245[[#This Row],[21]:[Colonne5]],"&lt;&gt;-",Tableau432623245[[#This Row],[21]:[Colonne5]],"&lt;&gt;ABS")</f>
        <v>85</v>
      </c>
      <c r="V23" s="10">
        <f ca="1">SUM(Tableau432623245[[#This Row],[21]],Tableau432623245[[#This Row],[22]:[Colonne5]])-T23</f>
        <v>41</v>
      </c>
      <c r="W23" s="9">
        <f ca="1">SUMIFS($H$4:$Q$4,Tableau432623245[[#This Row],[21]:[Colonne5]],"&lt;&gt;-",Tableau432623245[[#This Row],[21]:[Colonne5]],"&lt;&gt;ABS")-Tableau432623245[[#This Row],[      ]]</f>
        <v>60</v>
      </c>
      <c r="AH23" s="4"/>
    </row>
    <row r="24" spans="1:34" ht="22.5" customHeight="1" thickBot="1" x14ac:dyDescent="0.3">
      <c r="B24" s="1">
        <v>19</v>
      </c>
      <c r="C24" s="25">
        <f ca="1">IFERROR($AE$2*Tableau432623245[[#This Row],[   ]]+(1-$AE$2)*Tableau432623245[[#This Row],[    ]],"-")</f>
        <v>0.53803921568627455</v>
      </c>
      <c r="D24" s="24">
        <f ca="1">IFERROR(IF(Tableau432623245[[#This Row],[ ]]&lt;&gt;0,MROUND(Tableau432623245[[#This Row],[ ]]*20,0.5),"ABS"),"-")</f>
        <v>11</v>
      </c>
      <c r="E24" s="18" t="s">
        <v>105</v>
      </c>
      <c r="F24" s="17" t="s">
        <v>106</v>
      </c>
      <c r="G24" s="16"/>
      <c r="H24" s="15">
        <f t="shared" ca="1" si="4"/>
        <v>16</v>
      </c>
      <c r="I24" s="15">
        <f t="shared" ca="1" si="4"/>
        <v>14</v>
      </c>
      <c r="J24" s="15">
        <f t="shared" ca="1" si="4"/>
        <v>26</v>
      </c>
      <c r="K24" s="15">
        <f t="shared" ca="1" si="4"/>
        <v>17</v>
      </c>
      <c r="L24" s="15">
        <f t="shared" ca="1" si="4"/>
        <v>10</v>
      </c>
      <c r="M24" s="15" t="s">
        <v>4</v>
      </c>
      <c r="N24" s="15" t="s">
        <v>4</v>
      </c>
      <c r="O24" s="15" t="s">
        <v>4</v>
      </c>
      <c r="P24" s="15" t="s">
        <v>4</v>
      </c>
      <c r="Q24" s="14" t="s">
        <v>4</v>
      </c>
      <c r="R24" s="13">
        <f t="shared" ca="1" si="1"/>
        <v>0.50588235294117645</v>
      </c>
      <c r="S24" s="13">
        <f t="shared" ca="1" si="2"/>
        <v>0.66666666666666663</v>
      </c>
      <c r="T24" s="12">
        <f ca="1">SUMIF($H$2:$Q$2,"*UAA*",Tableau432623245[[#This Row],[21]:[Colonne5]])</f>
        <v>43</v>
      </c>
      <c r="U24" s="11">
        <f ca="1">SUMIFS($H$4:$Q$4,$H$2:$Q$2,"*UAA*",Tableau432623245[[#This Row],[21]:[Colonne5]],"&lt;&gt;-",Tableau432623245[[#This Row],[21]:[Colonne5]],"&lt;&gt;ABS")</f>
        <v>85</v>
      </c>
      <c r="V24" s="10">
        <f ca="1">SUM(Tableau432623245[[#This Row],[21]],Tableau432623245[[#This Row],[22]:[Colonne5]])-T24</f>
        <v>40</v>
      </c>
      <c r="W24" s="9">
        <f ca="1">SUMIFS($H$4:$Q$4,Tableau432623245[[#This Row],[21]:[Colonne5]],"&lt;&gt;-",Tableau432623245[[#This Row],[21]:[Colonne5]],"&lt;&gt;ABS")-Tableau432623245[[#This Row],[      ]]</f>
        <v>60</v>
      </c>
      <c r="Z24"/>
      <c r="AA24"/>
      <c r="AB24"/>
      <c r="AC24" s="23" t="s">
        <v>15</v>
      </c>
      <c r="AD24" s="23" t="s">
        <v>14</v>
      </c>
      <c r="AH24" s="4"/>
    </row>
    <row r="25" spans="1:34" ht="22.5" customHeight="1" x14ac:dyDescent="0.25">
      <c r="B25" s="1">
        <v>20</v>
      </c>
      <c r="C25" s="20">
        <f ca="1">IFERROR($AE$2*Tableau432623245[[#This Row],[   ]]+(1-$AE$2)*Tableau432623245[[#This Row],[    ]],"-")</f>
        <v>0.68588235294117639</v>
      </c>
      <c r="D25" s="19">
        <f ca="1">IFERROR(IF(Tableau432623245[[#This Row],[ ]]&lt;&gt;0,MROUND(Tableau432623245[[#This Row],[ ]]*20,0.5),"ABS"),"-")</f>
        <v>13.5</v>
      </c>
      <c r="E25" s="18" t="s">
        <v>107</v>
      </c>
      <c r="F25" s="17" t="s">
        <v>108</v>
      </c>
      <c r="G25" s="16"/>
      <c r="H25" s="15">
        <f t="shared" ca="1" si="4"/>
        <v>20</v>
      </c>
      <c r="I25" s="15">
        <f t="shared" ca="1" si="4"/>
        <v>10</v>
      </c>
      <c r="J25" s="15">
        <f t="shared" ca="1" si="4"/>
        <v>26</v>
      </c>
      <c r="K25" s="15">
        <f t="shared" ca="1" si="4"/>
        <v>32</v>
      </c>
      <c r="L25" s="15">
        <f t="shared" ca="1" si="4"/>
        <v>12</v>
      </c>
      <c r="M25" s="15" t="s">
        <v>4</v>
      </c>
      <c r="N25" s="15" t="s">
        <v>4</v>
      </c>
      <c r="O25" s="15" t="s">
        <v>4</v>
      </c>
      <c r="P25" s="15" t="s">
        <v>4</v>
      </c>
      <c r="Q25" s="14" t="s">
        <v>4</v>
      </c>
      <c r="R25" s="13">
        <f t="shared" ca="1" si="1"/>
        <v>0.68235294117647061</v>
      </c>
      <c r="S25" s="13">
        <f t="shared" ca="1" si="2"/>
        <v>0.7</v>
      </c>
      <c r="T25" s="12">
        <f ca="1">SUMIF($H$2:$Q$2,"*UAA*",Tableau432623245[[#This Row],[21]:[Colonne5]])</f>
        <v>58</v>
      </c>
      <c r="U25" s="11">
        <f ca="1">SUMIFS($H$4:$Q$4,$H$2:$Q$2,"*UAA*",Tableau432623245[[#This Row],[21]:[Colonne5]],"&lt;&gt;-",Tableau432623245[[#This Row],[21]:[Colonne5]],"&lt;&gt;ABS")</f>
        <v>85</v>
      </c>
      <c r="V25" s="10">
        <f ca="1">SUM(Tableau432623245[[#This Row],[21]],Tableau432623245[[#This Row],[22]:[Colonne5]])-T25</f>
        <v>42</v>
      </c>
      <c r="W25" s="9">
        <f ca="1">SUMIFS($H$4:$Q$4,Tableau432623245[[#This Row],[21]:[Colonne5]],"&lt;&gt;-",Tableau432623245[[#This Row],[21]:[Colonne5]],"&lt;&gt;ABS")-Tableau432623245[[#This Row],[      ]]</f>
        <v>60</v>
      </c>
      <c r="Z25" s="87">
        <v>0.9</v>
      </c>
      <c r="AA25" s="88"/>
      <c r="AB25" s="89"/>
      <c r="AC25" s="22">
        <f ca="1">$AC$21-1.64*$AC$22</f>
        <v>0.41185250272933127</v>
      </c>
      <c r="AD25" s="21">
        <f ca="1">$AC$21+1.64*$AC$22</f>
        <v>0.83100464012781161</v>
      </c>
      <c r="AH25" s="4"/>
    </row>
    <row r="26" spans="1:34" ht="20.25" customHeight="1" x14ac:dyDescent="0.25">
      <c r="B26" s="1">
        <v>21</v>
      </c>
      <c r="C26" s="20">
        <f ca="1">IFERROR($AE$2*Tableau432623245[[#This Row],[   ]]+(1-$AE$2)*Tableau432623245[[#This Row],[    ]],"-")</f>
        <v>0.54352941176470593</v>
      </c>
      <c r="D26" s="19">
        <f ca="1">IFERROR(IF(Tableau432623245[[#This Row],[ ]]&lt;&gt;0,MROUND(Tableau432623245[[#This Row],[ ]]*20,0.5),"ABS"),"-")</f>
        <v>11</v>
      </c>
      <c r="E26" s="18" t="s">
        <v>109</v>
      </c>
      <c r="F26" s="17" t="s">
        <v>110</v>
      </c>
      <c r="G26" s="16"/>
      <c r="H26" s="15">
        <f t="shared" ca="1" si="4"/>
        <v>8</v>
      </c>
      <c r="I26" s="15">
        <f t="shared" ca="1" si="4"/>
        <v>14</v>
      </c>
      <c r="J26" s="15">
        <f t="shared" ca="1" si="4"/>
        <v>24</v>
      </c>
      <c r="K26" s="15">
        <f t="shared" ca="1" si="4"/>
        <v>21</v>
      </c>
      <c r="L26" s="15">
        <f t="shared" ca="1" si="4"/>
        <v>14</v>
      </c>
      <c r="M26" s="15" t="s">
        <v>4</v>
      </c>
      <c r="N26" s="15" t="s">
        <v>4</v>
      </c>
      <c r="O26" s="15" t="s">
        <v>4</v>
      </c>
      <c r="P26" s="15" t="s">
        <v>4</v>
      </c>
      <c r="Q26" s="14" t="s">
        <v>4</v>
      </c>
      <c r="R26" s="13">
        <f t="shared" ca="1" si="1"/>
        <v>0.52941176470588236</v>
      </c>
      <c r="S26" s="13">
        <f t="shared" ca="1" si="2"/>
        <v>0.6</v>
      </c>
      <c r="T26" s="12">
        <f ca="1">SUMIF($H$2:$Q$2,"*UAA*",Tableau432623245[[#This Row],[21]:[Colonne5]])</f>
        <v>45</v>
      </c>
      <c r="U26" s="11">
        <f ca="1">SUMIFS($H$4:$Q$4,$H$2:$Q$2,"*UAA*",Tableau432623245[[#This Row],[21]:[Colonne5]],"&lt;&gt;-",Tableau432623245[[#This Row],[21]:[Colonne5]],"&lt;&gt;ABS")</f>
        <v>85</v>
      </c>
      <c r="V26" s="10">
        <f ca="1">SUM(Tableau432623245[[#This Row],[21]],Tableau432623245[[#This Row],[22]:[Colonne5]])-T26</f>
        <v>36</v>
      </c>
      <c r="W26" s="9">
        <f ca="1">SUMIFS($H$4:$Q$4,Tableau432623245[[#This Row],[21]:[Colonne5]],"&lt;&gt;-",Tableau432623245[[#This Row],[21]:[Colonne5]],"&lt;&gt;ABS")-Tableau432623245[[#This Row],[      ]]</f>
        <v>60</v>
      </c>
      <c r="Z26" s="90">
        <v>0.95</v>
      </c>
      <c r="AA26" s="91"/>
      <c r="AB26" s="92"/>
      <c r="AC26" s="8">
        <f ca="1">$AC$21-1.96*$AC$22</f>
        <v>0.370959611275821</v>
      </c>
      <c r="AD26" s="7">
        <f ca="1">MIN($AC$21+1.96*$AC$22,1)</f>
        <v>0.87189753158132188</v>
      </c>
      <c r="AH26" s="4"/>
    </row>
    <row r="27" spans="1:34" ht="20.25" customHeight="1" thickBot="1" x14ac:dyDescent="0.3">
      <c r="A27" s="2"/>
      <c r="B27" s="2"/>
      <c r="C27" s="1"/>
      <c r="D27" s="1"/>
      <c r="E27" s="1"/>
      <c r="H27"/>
      <c r="I27"/>
      <c r="J27"/>
      <c r="K27"/>
      <c r="L27"/>
      <c r="M27"/>
      <c r="N27"/>
      <c r="O27"/>
      <c r="P27"/>
      <c r="Q27"/>
      <c r="Z27" s="93">
        <v>0.99</v>
      </c>
      <c r="AA27" s="94"/>
      <c r="AB27" s="95"/>
      <c r="AC27" s="6">
        <f ca="1">MAX($AC$21-2.58*$AC$22,0)</f>
        <v>0.29172963408464481</v>
      </c>
      <c r="AD27" s="5">
        <f ca="1">MIN($AC$21+2.58*$AC$22,1)</f>
        <v>0.95112750877249808</v>
      </c>
      <c r="AH27" s="4"/>
    </row>
    <row r="28" spans="1:34" ht="20.25" customHeight="1" x14ac:dyDescent="0.25">
      <c r="A28" s="2"/>
      <c r="B28" s="2"/>
      <c r="C28" s="1"/>
      <c r="D28" s="1"/>
      <c r="E28" s="1"/>
      <c r="H28"/>
      <c r="I28"/>
      <c r="J28"/>
      <c r="K28"/>
      <c r="L28"/>
      <c r="M28"/>
      <c r="N28"/>
      <c r="O28"/>
      <c r="P28"/>
      <c r="Q28"/>
      <c r="AH28" s="4"/>
    </row>
    <row r="29" spans="1:34" ht="20.25" customHeight="1" x14ac:dyDescent="0.25">
      <c r="A29" s="2"/>
      <c r="B29" s="2"/>
      <c r="C29" s="1"/>
      <c r="D29" s="1"/>
      <c r="I29"/>
      <c r="J29"/>
      <c r="K29"/>
      <c r="L29"/>
      <c r="M29"/>
      <c r="N29"/>
      <c r="O29"/>
      <c r="P29"/>
      <c r="Q29"/>
    </row>
    <row r="30" spans="1:34" ht="20.25" customHeight="1" x14ac:dyDescent="0.25">
      <c r="B30" s="2"/>
      <c r="C30" s="1"/>
      <c r="D30" s="1"/>
      <c r="I30"/>
      <c r="J30"/>
      <c r="K30"/>
      <c r="L30"/>
      <c r="M30"/>
      <c r="N30"/>
      <c r="O30"/>
      <c r="P30"/>
      <c r="Q30"/>
      <c r="X30"/>
      <c r="Y30"/>
      <c r="Z30"/>
      <c r="AA30"/>
      <c r="AB30"/>
    </row>
    <row r="31" spans="1:34" ht="20.25" customHeight="1" x14ac:dyDescent="0.25">
      <c r="B31" s="2"/>
      <c r="C31" s="1"/>
      <c r="D31" s="1"/>
      <c r="E31" s="1"/>
      <c r="H31"/>
      <c r="I31"/>
      <c r="J31"/>
      <c r="K31"/>
      <c r="L31"/>
      <c r="M31"/>
      <c r="N31"/>
      <c r="O31"/>
      <c r="P31"/>
      <c r="Q31"/>
      <c r="X31"/>
      <c r="Y31"/>
      <c r="Z31"/>
      <c r="AA31"/>
      <c r="AB31"/>
    </row>
    <row r="32" spans="1:34" ht="20.25" customHeight="1" x14ac:dyDescent="0.25">
      <c r="B32" s="2"/>
      <c r="C32" s="1"/>
      <c r="D32" s="1"/>
      <c r="E32" s="1"/>
      <c r="H32"/>
      <c r="I32"/>
      <c r="J32"/>
      <c r="K32"/>
      <c r="L32"/>
      <c r="M32"/>
      <c r="N32"/>
      <c r="O32"/>
      <c r="P32"/>
      <c r="Q32"/>
      <c r="X32"/>
      <c r="Y32"/>
      <c r="Z32"/>
      <c r="AA32"/>
      <c r="AB32"/>
    </row>
    <row r="33" spans="2:28" ht="20.25" customHeight="1" x14ac:dyDescent="0.25">
      <c r="B33" s="2"/>
      <c r="C33" s="1"/>
      <c r="D33" s="1"/>
      <c r="E33" s="1"/>
      <c r="H33"/>
      <c r="I33"/>
      <c r="J33"/>
      <c r="K33"/>
      <c r="L33"/>
      <c r="M33"/>
      <c r="N33"/>
      <c r="O33"/>
      <c r="P33"/>
      <c r="Q33"/>
      <c r="X33"/>
      <c r="Y33"/>
      <c r="Z33"/>
      <c r="AA33"/>
      <c r="AB33"/>
    </row>
    <row r="34" spans="2:28" ht="20.25" customHeight="1" x14ac:dyDescent="0.25">
      <c r="B34" s="2"/>
      <c r="C34" s="1"/>
      <c r="D34" s="1"/>
      <c r="E34" s="1"/>
      <c r="H34"/>
      <c r="I34"/>
      <c r="J34"/>
      <c r="K34"/>
      <c r="L34"/>
      <c r="M34"/>
      <c r="N34"/>
      <c r="O34"/>
      <c r="P34"/>
      <c r="Q34"/>
      <c r="X34"/>
      <c r="Y34"/>
      <c r="Z34"/>
      <c r="AA34"/>
      <c r="AB34"/>
    </row>
    <row r="35" spans="2:28" ht="20.25" customHeight="1" x14ac:dyDescent="0.25">
      <c r="B35" s="2"/>
      <c r="C35" s="1"/>
      <c r="D35" s="1"/>
      <c r="E35" s="1"/>
      <c r="H35"/>
      <c r="I35"/>
      <c r="J35"/>
      <c r="K35"/>
      <c r="L35"/>
      <c r="M35"/>
      <c r="N35"/>
      <c r="O35"/>
      <c r="P35"/>
      <c r="Q35"/>
      <c r="X35"/>
      <c r="Y35"/>
      <c r="Z35"/>
      <c r="AA35"/>
      <c r="AB35"/>
    </row>
    <row r="36" spans="2:28" ht="20.25" customHeight="1" x14ac:dyDescent="0.25">
      <c r="B36" s="2"/>
      <c r="C36" s="1"/>
      <c r="D36" s="1"/>
      <c r="E36" s="1"/>
      <c r="H36"/>
      <c r="I36"/>
      <c r="J36"/>
      <c r="K36"/>
      <c r="L36"/>
      <c r="M36"/>
      <c r="N36"/>
      <c r="O36"/>
      <c r="P36"/>
      <c r="Q36"/>
      <c r="X36"/>
      <c r="Y36"/>
      <c r="Z36"/>
      <c r="AA36"/>
      <c r="AB36"/>
    </row>
    <row r="37" spans="2:28" ht="20.25" customHeight="1" x14ac:dyDescent="0.25">
      <c r="B37" s="2"/>
      <c r="C37" s="1"/>
      <c r="D37" s="1"/>
      <c r="E37" s="1"/>
      <c r="H37"/>
      <c r="I37"/>
      <c r="J37"/>
      <c r="K37"/>
      <c r="L37"/>
      <c r="M37"/>
      <c r="N37"/>
      <c r="O37"/>
      <c r="P37"/>
      <c r="Q37"/>
      <c r="X37"/>
      <c r="Y37"/>
      <c r="Z37"/>
      <c r="AA37"/>
      <c r="AB37"/>
    </row>
    <row r="38" spans="2:28" ht="20.25" customHeight="1" x14ac:dyDescent="0.25">
      <c r="B38" s="2"/>
      <c r="C38" s="1"/>
      <c r="D38" s="1"/>
      <c r="E38" s="1"/>
      <c r="H38"/>
      <c r="I38"/>
      <c r="J38"/>
      <c r="K38"/>
      <c r="L38"/>
      <c r="M38"/>
      <c r="N38"/>
      <c r="O38"/>
      <c r="P38"/>
      <c r="Q38"/>
      <c r="X38"/>
      <c r="Y38"/>
      <c r="Z38"/>
      <c r="AA38"/>
      <c r="AB38"/>
    </row>
    <row r="39" spans="2:28" ht="20.25" customHeight="1" x14ac:dyDescent="0.25">
      <c r="B39" s="2"/>
      <c r="C39" s="1"/>
      <c r="D39" s="1"/>
      <c r="E39" s="1"/>
      <c r="H39"/>
      <c r="I39"/>
      <c r="J39"/>
      <c r="K39"/>
      <c r="L39"/>
      <c r="M39"/>
      <c r="N39"/>
      <c r="O39"/>
      <c r="P39"/>
      <c r="Q39"/>
      <c r="X39"/>
      <c r="Y39"/>
      <c r="Z39"/>
      <c r="AA39"/>
      <c r="AB39"/>
    </row>
    <row r="40" spans="2:28" ht="20.25" customHeight="1" x14ac:dyDescent="0.25">
      <c r="C40" s="1"/>
      <c r="D40" s="1"/>
      <c r="E40" s="1"/>
      <c r="H40"/>
      <c r="I40"/>
      <c r="J40"/>
      <c r="K40"/>
      <c r="L40"/>
      <c r="M40"/>
      <c r="N40"/>
      <c r="O40"/>
      <c r="P40"/>
      <c r="Q40"/>
      <c r="X40"/>
      <c r="Y40"/>
      <c r="Z40"/>
      <c r="AA40"/>
      <c r="AB40"/>
    </row>
    <row r="41" spans="2:28" ht="20.25" customHeight="1" x14ac:dyDescent="0.25">
      <c r="B41" s="2"/>
      <c r="C41" s="1"/>
      <c r="D41" s="1"/>
      <c r="E41" s="1"/>
      <c r="H41"/>
      <c r="I41"/>
      <c r="J41"/>
      <c r="K41"/>
      <c r="L41"/>
      <c r="M41"/>
      <c r="N41"/>
      <c r="O41"/>
      <c r="P41"/>
      <c r="Q41"/>
      <c r="X41"/>
      <c r="Y41"/>
      <c r="Z41"/>
      <c r="AA41"/>
      <c r="AB41"/>
    </row>
  </sheetData>
  <mergeCells count="27">
    <mergeCell ref="Z27:AB27"/>
    <mergeCell ref="Z16:AC16"/>
    <mergeCell ref="Z17:AE17"/>
    <mergeCell ref="Z19:AD20"/>
    <mergeCell ref="Z21:AB21"/>
    <mergeCell ref="AC21:AD21"/>
    <mergeCell ref="AE4:AE5"/>
    <mergeCell ref="Z22:AB22"/>
    <mergeCell ref="AC22:AD22"/>
    <mergeCell ref="Z25:AB25"/>
    <mergeCell ref="Z26:AB26"/>
    <mergeCell ref="AF4:AF5"/>
    <mergeCell ref="V2:V4"/>
    <mergeCell ref="B2:F4"/>
    <mergeCell ref="R2:R4"/>
    <mergeCell ref="S2:S4"/>
    <mergeCell ref="T2:T4"/>
    <mergeCell ref="U2:U4"/>
    <mergeCell ref="W2:W4"/>
    <mergeCell ref="Z2:AD2"/>
    <mergeCell ref="AE2:AF2"/>
    <mergeCell ref="Z3:AF3"/>
    <mergeCell ref="Z4:Z5"/>
    <mergeCell ref="AA4:AA5"/>
    <mergeCell ref="AB4:AB5"/>
    <mergeCell ref="AC4:AC5"/>
    <mergeCell ref="AD4:AD5"/>
  </mergeCells>
  <phoneticPr fontId="10" type="noConversion"/>
  <conditionalFormatting sqref="C6:C26">
    <cfRule type="cellIs" dxfId="117" priority="25" operator="lessThan">
      <formula>50%</formula>
    </cfRule>
    <cfRule type="cellIs" dxfId="116" priority="26" operator="lessThan">
      <formula>0.6</formula>
    </cfRule>
  </conditionalFormatting>
  <conditionalFormatting sqref="D6:D26">
    <cfRule type="cellIs" dxfId="115" priority="27" operator="lessThan">
      <formula>10</formula>
    </cfRule>
    <cfRule type="cellIs" dxfId="114" priority="28" operator="lessThan">
      <formula>12</formula>
    </cfRule>
  </conditionalFormatting>
  <conditionalFormatting sqref="H6:L26">
    <cfRule type="containsText" dxfId="113" priority="1" operator="containsText" text="ABS">
      <formula>NOT(ISERROR(SEARCH("ABS",H6)))</formula>
    </cfRule>
    <cfRule type="cellIs" dxfId="112" priority="2" operator="lessThan">
      <formula>0.5*H$4</formula>
    </cfRule>
    <cfRule type="cellIs" dxfId="111" priority="3" operator="lessThan">
      <formula>0.6*H$4</formula>
    </cfRule>
    <cfRule type="containsText" dxfId="110" priority="18" operator="containsText" text="ABS">
      <formula>NOT(ISERROR(SEARCH("ABS",H6)))</formula>
    </cfRule>
  </conditionalFormatting>
  <conditionalFormatting sqref="H6:Q26 C6:D26 T6:W26">
    <cfRule type="containsText" dxfId="109" priority="24" operator="containsText" text="ABS">
      <formula>NOT(ISERROR(SEARCH("ABS",C6)))</formula>
    </cfRule>
  </conditionalFormatting>
  <conditionalFormatting sqref="H6:Q26">
    <cfRule type="containsBlanks" dxfId="108" priority="5">
      <formula>LEN(TRIM(H6))=0</formula>
    </cfRule>
    <cfRule type="cellIs" dxfId="107" priority="29" operator="lessThan">
      <formula>0.5*H$4</formula>
    </cfRule>
    <cfRule type="cellIs" dxfId="106" priority="30" operator="lessThan">
      <formula>0.6*H$4</formula>
    </cfRule>
  </conditionalFormatting>
  <conditionalFormatting sqref="I6:I26">
    <cfRule type="containsText" dxfId="105" priority="4" operator="containsText" text="ABS">
      <formula>NOT(ISERROR(SEARCH("ABS",I6)))</formula>
    </cfRule>
  </conditionalFormatting>
  <conditionalFormatting sqref="J6:J26 K23">
    <cfRule type="cellIs" dxfId="104" priority="10" operator="lessThan">
      <formula>0.5*J$4</formula>
    </cfRule>
    <cfRule type="cellIs" dxfId="103" priority="11" operator="lessThan">
      <formula>0.6*J$4</formula>
    </cfRule>
  </conditionalFormatting>
  <conditionalFormatting sqref="K6:K26">
    <cfRule type="containsText" dxfId="102" priority="12" operator="containsText" text="ABS">
      <formula>NOT(ISERROR(SEARCH("ABS",K6)))</formula>
    </cfRule>
    <cfRule type="cellIs" dxfId="101" priority="13" operator="lessThan">
      <formula>0.5*K$4</formula>
    </cfRule>
    <cfRule type="cellIs" dxfId="100" priority="14" operator="lessThan">
      <formula>0.6*K$4</formula>
    </cfRule>
    <cfRule type="containsText" dxfId="99" priority="15" operator="containsText" text="ABS">
      <formula>NOT(ISERROR(SEARCH("ABS",K6)))</formula>
    </cfRule>
    <cfRule type="cellIs" dxfId="98" priority="16" operator="lessThan">
      <formula>0.5*K$4</formula>
    </cfRule>
    <cfRule type="cellIs" dxfId="97" priority="17" operator="lessThan">
      <formula>0.6*K$4</formula>
    </cfRule>
  </conditionalFormatting>
  <conditionalFormatting sqref="K23 J6:J26">
    <cfRule type="containsText" dxfId="96" priority="9" operator="containsText" text="ABS">
      <formula>NOT(ISERROR(SEARCH("ABS",J6)))</formula>
    </cfRule>
  </conditionalFormatting>
  <conditionalFormatting sqref="K23">
    <cfRule type="containsText" dxfId="95" priority="6" operator="containsText" text="ABS">
      <formula>NOT(ISERROR(SEARCH("ABS",K23)))</formula>
    </cfRule>
    <cfRule type="cellIs" dxfId="94" priority="7" operator="lessThan">
      <formula>0.5*K$4</formula>
    </cfRule>
    <cfRule type="cellIs" dxfId="93" priority="8" operator="lessThan">
      <formula>0.6*K$4</formula>
    </cfRule>
  </conditionalFormatting>
  <conditionalFormatting sqref="R6:R26">
    <cfRule type="cellIs" dxfId="92" priority="22" operator="lessThan">
      <formula>$S6*0.6</formula>
    </cfRule>
  </conditionalFormatting>
  <conditionalFormatting sqref="R6:S26">
    <cfRule type="cellIs" dxfId="91" priority="19" operator="lessThan">
      <formula>50%</formula>
    </cfRule>
    <cfRule type="cellIs" dxfId="90" priority="20" operator="lessThan">
      <formula>0.6</formula>
    </cfRule>
    <cfRule type="containsText" dxfId="89" priority="21" operator="containsText" text="ABS">
      <formula>NOT(ISERROR(SEARCH("ABS",R6)))</formula>
    </cfRule>
  </conditionalFormatting>
  <conditionalFormatting sqref="AA6:AA15">
    <cfRule type="containsText" dxfId="88" priority="23" operator="containsText" text="O">
      <formula>NOT(ISERROR(SEARCH("O",AA6)))</formula>
    </cfRule>
  </conditionalFormatting>
  <conditionalFormatting sqref="AB6:AB15">
    <cfRule type="cellIs" dxfId="87" priority="31" operator="lessThan">
      <formula>0.5</formula>
    </cfRule>
    <cfRule type="cellIs" dxfId="86" priority="32" operator="lessThan">
      <formula>0.6</formula>
    </cfRule>
  </conditionalFormatting>
  <conditionalFormatting sqref="AF6:AF16">
    <cfRule type="cellIs" dxfId="85" priority="33" operator="lessThan">
      <formula>0.5</formula>
    </cfRule>
    <cfRule type="cellIs" dxfId="84" priority="34" operator="lessThan">
      <formula>0.6</formula>
    </cfRule>
  </conditionalFormatting>
  <pageMargins left="0.23622047244094491" right="0.23622047244094491" top="0.74803149606299213" bottom="0.74803149606299213" header="0.31496062992125984" footer="0.31496062992125984"/>
  <pageSetup paperSize="9" scale="75" fitToWidth="0" fitToHeight="0" orientation="landscape" horizontalDpi="300" verticalDpi="300" r:id="rId1"/>
  <headerFooter>
    <oddHeader>&amp;C&amp;"-,Gras"&amp;22Évaluations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7DDB2-99DC-43BE-BA0E-FB5E5DD237CA}">
  <sheetPr codeName="Feuil2">
    <tabColor theme="4" tint="-0.249977111117893"/>
  </sheetPr>
  <dimension ref="B1:AG41"/>
  <sheetViews>
    <sheetView zoomScaleNormal="100" zoomScalePageLayoutView="85" workbookViewId="0">
      <pane ySplit="5" topLeftCell="A6" activePane="bottomLeft" state="frozen"/>
      <selection pane="bottomLeft" activeCell="E6" sqref="E6"/>
    </sheetView>
  </sheetViews>
  <sheetFormatPr baseColWidth="10" defaultColWidth="1.7109375" defaultRowHeight="15" x14ac:dyDescent="0.25"/>
  <cols>
    <col min="2" max="2" width="4" customWidth="1"/>
    <col min="3" max="3" width="5.5703125" style="3" customWidth="1"/>
    <col min="4" max="4" width="6.28515625" customWidth="1"/>
    <col min="5" max="5" width="13.7109375" customWidth="1"/>
    <col min="6" max="6" width="16.42578125" customWidth="1"/>
    <col min="7" max="7" width="5.140625" customWidth="1"/>
    <col min="8" max="10" width="8.7109375" style="1" customWidth="1"/>
    <col min="11" max="11" width="9.42578125" style="1" customWidth="1"/>
    <col min="12" max="16" width="8.7109375" style="1" customWidth="1"/>
    <col min="17" max="17" width="9" style="1" bestFit="1" customWidth="1"/>
    <col min="18" max="18" width="5.85546875" customWidth="1"/>
    <col min="19" max="19" width="6.5703125" customWidth="1"/>
    <col min="20" max="20" width="4.140625" customWidth="1"/>
    <col min="21" max="23" width="4.85546875" customWidth="1"/>
    <col min="24" max="24" width="6.7109375" style="2" customWidth="1"/>
    <col min="25" max="25" width="6.140625" style="1" customWidth="1"/>
    <col min="26" max="28" width="6.28515625" style="1" customWidth="1"/>
    <col min="29" max="29" width="7" customWidth="1"/>
    <col min="30" max="30" width="7.28515625" customWidth="1"/>
    <col min="31" max="31" width="6.140625" customWidth="1"/>
    <col min="32" max="32" width="8" customWidth="1"/>
    <col min="33" max="33" width="8.7109375" customWidth="1"/>
    <col min="34" max="79" width="6" customWidth="1"/>
  </cols>
  <sheetData>
    <row r="1" spans="2:32" ht="15.75" thickBot="1" x14ac:dyDescent="0.3">
      <c r="R1" s="2"/>
      <c r="S1" s="2"/>
      <c r="T1" s="2"/>
      <c r="U1" s="2"/>
      <c r="V1" s="2"/>
      <c r="W1" s="2"/>
    </row>
    <row r="2" spans="2:32" s="47" customFormat="1" ht="101.25" customHeight="1" thickTop="1" thickBot="1" x14ac:dyDescent="0.3">
      <c r="B2" s="60" t="s">
        <v>9</v>
      </c>
      <c r="C2" s="61"/>
      <c r="D2" s="61"/>
      <c r="E2" s="61"/>
      <c r="F2" s="62"/>
      <c r="G2" s="51" t="s">
        <v>64</v>
      </c>
      <c r="H2" s="50" t="s">
        <v>63</v>
      </c>
      <c r="I2" s="50" t="s">
        <v>68</v>
      </c>
      <c r="J2" s="50" t="s">
        <v>67</v>
      </c>
      <c r="K2" s="50"/>
      <c r="L2" s="50"/>
      <c r="M2" s="50"/>
      <c r="N2" s="50"/>
      <c r="O2" s="50"/>
      <c r="P2" s="49"/>
      <c r="Q2" s="49"/>
      <c r="R2" s="66" t="s">
        <v>58</v>
      </c>
      <c r="S2" s="69" t="s">
        <v>57</v>
      </c>
      <c r="T2" s="58" t="s">
        <v>56</v>
      </c>
      <c r="U2" s="72" t="s">
        <v>55</v>
      </c>
      <c r="V2" s="58" t="s">
        <v>54</v>
      </c>
      <c r="W2" s="72" t="s">
        <v>53</v>
      </c>
      <c r="X2" s="2"/>
      <c r="Y2" s="48"/>
      <c r="Z2" s="74" t="s">
        <v>52</v>
      </c>
      <c r="AA2" s="75"/>
      <c r="AB2" s="75"/>
      <c r="AC2" s="75"/>
      <c r="AD2" s="75"/>
      <c r="AE2" s="76">
        <v>0.7</v>
      </c>
      <c r="AF2" s="77"/>
    </row>
    <row r="3" spans="2:32" ht="42.75" customHeight="1" thickTop="1" thickBot="1" x14ac:dyDescent="0.3">
      <c r="B3" s="63"/>
      <c r="C3" s="64"/>
      <c r="D3" s="64"/>
      <c r="E3" s="64"/>
      <c r="F3" s="65"/>
      <c r="G3" s="46" t="s">
        <v>51</v>
      </c>
      <c r="H3" s="44">
        <v>45007</v>
      </c>
      <c r="I3" s="44">
        <v>45014</v>
      </c>
      <c r="J3" s="44">
        <v>45028</v>
      </c>
      <c r="K3" s="44"/>
      <c r="L3" s="44"/>
      <c r="M3" s="44"/>
      <c r="N3" s="45"/>
      <c r="O3" s="45"/>
      <c r="P3" s="44"/>
      <c r="Q3" s="43"/>
      <c r="R3" s="67"/>
      <c r="S3" s="70"/>
      <c r="T3" s="59"/>
      <c r="U3" s="73"/>
      <c r="V3" s="59"/>
      <c r="W3" s="73"/>
      <c r="Z3" s="78" t="s">
        <v>50</v>
      </c>
      <c r="AA3" s="79"/>
      <c r="AB3" s="79"/>
      <c r="AC3" s="79"/>
      <c r="AD3" s="79"/>
      <c r="AE3" s="79"/>
      <c r="AF3" s="80"/>
    </row>
    <row r="4" spans="2:32" ht="38.25" thickTop="1" thickBot="1" x14ac:dyDescent="0.3">
      <c r="B4" s="63"/>
      <c r="C4" s="64"/>
      <c r="D4" s="64"/>
      <c r="E4" s="64"/>
      <c r="F4" s="65"/>
      <c r="G4" s="42" t="s">
        <v>2</v>
      </c>
      <c r="H4" s="41">
        <v>25</v>
      </c>
      <c r="I4" s="41">
        <v>20</v>
      </c>
      <c r="J4" s="41">
        <v>50</v>
      </c>
      <c r="K4" s="41"/>
      <c r="L4" s="41"/>
      <c r="M4" s="41"/>
      <c r="N4" s="41"/>
      <c r="O4" s="41"/>
      <c r="P4" s="41"/>
      <c r="Q4" s="41"/>
      <c r="R4" s="68"/>
      <c r="S4" s="71"/>
      <c r="T4" s="59"/>
      <c r="U4" s="73"/>
      <c r="V4" s="59"/>
      <c r="W4" s="73"/>
      <c r="Z4" s="81" t="s">
        <v>49</v>
      </c>
      <c r="AA4" s="81" t="s">
        <v>48</v>
      </c>
      <c r="AB4" s="81" t="s">
        <v>17</v>
      </c>
      <c r="AC4" s="81" t="s">
        <v>16</v>
      </c>
      <c r="AD4" s="81" t="s">
        <v>47</v>
      </c>
      <c r="AE4" s="81" t="s">
        <v>46</v>
      </c>
      <c r="AF4" s="57" t="s">
        <v>45</v>
      </c>
    </row>
    <row r="5" spans="2:32" ht="26.25" customHeight="1" thickTop="1" x14ac:dyDescent="0.25">
      <c r="B5" s="37" t="s">
        <v>44</v>
      </c>
      <c r="C5" s="40" t="s">
        <v>43</v>
      </c>
      <c r="D5" s="40" t="s">
        <v>42</v>
      </c>
      <c r="E5" s="39" t="s">
        <v>0</v>
      </c>
      <c r="F5" s="39" t="s">
        <v>1</v>
      </c>
      <c r="G5" s="38" t="s">
        <v>3</v>
      </c>
      <c r="H5" s="55" t="s">
        <v>41</v>
      </c>
      <c r="I5" s="55" t="s">
        <v>40</v>
      </c>
      <c r="J5" s="55" t="s">
        <v>39</v>
      </c>
      <c r="K5" s="55" t="s">
        <v>10</v>
      </c>
      <c r="L5" s="55" t="s">
        <v>11</v>
      </c>
      <c r="M5" s="55" t="s">
        <v>12</v>
      </c>
      <c r="N5" s="56" t="s">
        <v>13</v>
      </c>
      <c r="O5" s="56" t="s">
        <v>5</v>
      </c>
      <c r="P5" s="56" t="s">
        <v>6</v>
      </c>
      <c r="Q5" s="56" t="s">
        <v>7</v>
      </c>
      <c r="R5" s="35" t="s">
        <v>66</v>
      </c>
      <c r="S5" s="36" t="s">
        <v>65</v>
      </c>
      <c r="T5" s="35" t="s">
        <v>34</v>
      </c>
      <c r="U5" s="34" t="s">
        <v>33</v>
      </c>
      <c r="V5" s="35" t="s">
        <v>32</v>
      </c>
      <c r="W5" s="34" t="s">
        <v>31</v>
      </c>
      <c r="Z5" s="81"/>
      <c r="AA5" s="81"/>
      <c r="AB5" s="81"/>
      <c r="AC5" s="81"/>
      <c r="AD5" s="81"/>
      <c r="AE5" s="81"/>
      <c r="AF5" s="57"/>
    </row>
    <row r="6" spans="2:32" ht="22.5" customHeight="1" x14ac:dyDescent="0.25">
      <c r="B6" s="1">
        <v>1</v>
      </c>
      <c r="C6" s="20">
        <f ca="1">IFERROR($AE$2*Tableau4326232454[[#This Row],[   2]]+(1-$AE$2)*Tableau4326232454[[#This Row],[    2]],"-")</f>
        <v>0.71</v>
      </c>
      <c r="D6" s="19">
        <f ca="1">IFERROR(IF(Tableau4326232454[[#This Row],[ ]]&lt;&gt;0,MROUND(Tableau4326232454[[#This Row],[ ]]*20,0.5),"ABS"),"-")</f>
        <v>14</v>
      </c>
      <c r="E6" s="18" t="s">
        <v>69</v>
      </c>
      <c r="F6" s="17" t="s">
        <v>70</v>
      </c>
      <c r="G6" s="16"/>
      <c r="H6" s="15">
        <f t="shared" ref="H6:J28" ca="1" si="0">RANDBETWEEN(H$4/4,H$4)</f>
        <v>22</v>
      </c>
      <c r="I6" s="15">
        <f t="shared" ca="1" si="0"/>
        <v>14</v>
      </c>
      <c r="J6" s="15">
        <f t="shared" ca="1" si="0"/>
        <v>33</v>
      </c>
      <c r="K6" s="15" t="s">
        <v>4</v>
      </c>
      <c r="L6" s="15" t="s">
        <v>4</v>
      </c>
      <c r="M6" s="15" t="s">
        <v>4</v>
      </c>
      <c r="N6" s="15" t="s">
        <v>4</v>
      </c>
      <c r="O6" s="15" t="s">
        <v>4</v>
      </c>
      <c r="P6" s="15" t="s">
        <v>4</v>
      </c>
      <c r="Q6" s="14" t="s">
        <v>4</v>
      </c>
      <c r="R6" s="13">
        <f t="shared" ref="R6:R28" ca="1" si="1">IFERROR(T6/U6,"-")</f>
        <v>0.7</v>
      </c>
      <c r="S6" s="13">
        <f t="shared" ref="S6:S28" ca="1" si="2">IFERROR(V6/W6,"-")</f>
        <v>0.73333333333333328</v>
      </c>
      <c r="T6" s="12">
        <f ca="1">SUMIF($H$2:$Q$2,"*UAA*",Tableau4326232454[[#This Row],[21]:[Colonne7]])</f>
        <v>14</v>
      </c>
      <c r="U6" s="11">
        <f ca="1">SUMIFS($H$4:$Q$4,$H$2:$Q$2,"*UAA*",Tableau4326232454[[#This Row],[21]:[Colonne7]],"&lt;&gt;-",Tableau4326232454[[#This Row],[21]:[Colonne7]],"&lt;&gt;ABS")</f>
        <v>20</v>
      </c>
      <c r="V6" s="10">
        <f ca="1">SUM(Tableau4326232454[[#This Row],[21]],Tableau4326232454[[#This Row],[22]:[Colonne7]])-T6</f>
        <v>55</v>
      </c>
      <c r="W6" s="9">
        <f ca="1">SUMIFS($H$4:$Q$4,Tableau4326232454[[#This Row],[21]:[Colonne7]],"&lt;&gt;-",Tableau4326232454[[#This Row],[21]:[Colonne7]],"&lt;&gt;ABS")-Tableau4326232454[[#This Row],[      ]]</f>
        <v>75</v>
      </c>
      <c r="Z6" s="1" t="s">
        <v>30</v>
      </c>
      <c r="AA6" s="1" t="str">
        <f>IF(ISERROR(SEARCH("UAA",H2)),"N","O")</f>
        <v>N</v>
      </c>
      <c r="AB6" s="33">
        <f ca="1">IFERROR(AVERAGE(H6:H26)/H4,"-")</f>
        <v>0.60571428571428565</v>
      </c>
      <c r="AC6" s="33">
        <f ca="1">IFERROR(_xlfn.STDEV.S(H6:H26)/H4,"-")</f>
        <v>0.23126978679826354</v>
      </c>
      <c r="AD6" s="32">
        <f ca="1">COUNTIF(Tableau4326232454[21],"&lt;"&amp;H4/2)</f>
        <v>8</v>
      </c>
      <c r="AE6" s="32">
        <f ca="1">COUNTIF(Tableau4326232454[21],"&lt;&gt;ABS")</f>
        <v>23</v>
      </c>
      <c r="AF6" s="31">
        <f t="shared" ref="AF6:AF16" ca="1" si="3">1-AD6/AE6</f>
        <v>0.65217391304347827</v>
      </c>
    </row>
    <row r="7" spans="2:32" ht="22.5" customHeight="1" x14ac:dyDescent="0.25">
      <c r="B7" s="1">
        <v>2</v>
      </c>
      <c r="C7" s="20">
        <f ca="1">IFERROR($AE$2*Tableau4326232454[[#This Row],[   2]]+(1-$AE$2)*Tableau4326232454[[#This Row],[    2]],"-")</f>
        <v>0.58699999999999997</v>
      </c>
      <c r="D7" s="19">
        <f ca="1">IFERROR(IF(Tableau4326232454[[#This Row],[ ]]&lt;&gt;0,MROUND(Tableau4326232454[[#This Row],[ ]]*20,0.5),"ABS"),"-")</f>
        <v>11.5</v>
      </c>
      <c r="E7" s="18" t="s">
        <v>71</v>
      </c>
      <c r="F7" s="17" t="s">
        <v>72</v>
      </c>
      <c r="G7" s="16"/>
      <c r="H7" s="15">
        <f t="shared" ca="1" si="0"/>
        <v>15</v>
      </c>
      <c r="I7" s="15">
        <f t="shared" ca="1" si="0"/>
        <v>13</v>
      </c>
      <c r="J7" s="15">
        <f t="shared" ca="1" si="0"/>
        <v>18</v>
      </c>
      <c r="K7" s="15" t="s">
        <v>4</v>
      </c>
      <c r="L7" s="15" t="s">
        <v>4</v>
      </c>
      <c r="M7" s="15" t="s">
        <v>4</v>
      </c>
      <c r="N7" s="15" t="s">
        <v>4</v>
      </c>
      <c r="O7" s="15" t="s">
        <v>4</v>
      </c>
      <c r="P7" s="15" t="s">
        <v>4</v>
      </c>
      <c r="Q7" s="14" t="s">
        <v>4</v>
      </c>
      <c r="R7" s="13">
        <f t="shared" ca="1" si="1"/>
        <v>0.65</v>
      </c>
      <c r="S7" s="13">
        <f t="shared" ca="1" si="2"/>
        <v>0.44</v>
      </c>
      <c r="T7" s="12">
        <f ca="1">SUMIF($H$2:$Q$2,"*UAA*",Tableau4326232454[[#This Row],[21]:[Colonne7]])</f>
        <v>13</v>
      </c>
      <c r="U7" s="11">
        <f ca="1">SUMIFS($H$4:$Q$4,$H$2:$Q$2,"*UAA*",Tableau4326232454[[#This Row],[21]:[Colonne7]],"&lt;&gt;-",Tableau4326232454[[#This Row],[21]:[Colonne7]],"&lt;&gt;ABS")</f>
        <v>20</v>
      </c>
      <c r="V7" s="10">
        <f ca="1">SUM(Tableau4326232454[[#This Row],[21]],Tableau4326232454[[#This Row],[22]:[Colonne7]])-T7</f>
        <v>33</v>
      </c>
      <c r="W7" s="9">
        <f ca="1">SUMIFS($H$4:$Q$4,Tableau4326232454[[#This Row],[21]:[Colonne7]],"&lt;&gt;-",Tableau4326232454[[#This Row],[21]:[Colonne7]],"&lt;&gt;ABS")-Tableau4326232454[[#This Row],[      ]]</f>
        <v>75</v>
      </c>
      <c r="Z7" s="1" t="s">
        <v>29</v>
      </c>
      <c r="AA7" s="1" t="str">
        <f>IF(ISERROR(SEARCH("UAA",I2)),"N","O")</f>
        <v>O</v>
      </c>
      <c r="AB7" s="33">
        <f ca="1">IFERROR(AVERAGE(I6:I26)/I4,"-")</f>
        <v>0.71666666666666667</v>
      </c>
      <c r="AC7" s="33">
        <f ca="1">IFERROR(_xlfn.STDEV.S(I6:I26)/I4,"-")</f>
        <v>0.189956135287422</v>
      </c>
      <c r="AD7" s="32">
        <f ca="1">COUNTIF(Tableau4326232454[22],"&lt;"&amp;I4/2)</f>
        <v>2</v>
      </c>
      <c r="AE7" s="32">
        <f ca="1">COUNTIF(Tableau4326232454[22],"&lt;&gt;ABS")</f>
        <v>23</v>
      </c>
      <c r="AF7" s="31">
        <f t="shared" ca="1" si="3"/>
        <v>0.91304347826086962</v>
      </c>
    </row>
    <row r="8" spans="2:32" ht="22.5" customHeight="1" x14ac:dyDescent="0.25">
      <c r="B8" s="1">
        <v>3</v>
      </c>
      <c r="C8" s="25">
        <f ca="1">IFERROR($AE$2*Tableau4326232454[[#This Row],[   2]]+(1-$AE$2)*Tableau4326232454[[#This Row],[    2]],"-")</f>
        <v>0.74</v>
      </c>
      <c r="D8" s="24">
        <f ca="1">IFERROR(IF(Tableau4326232454[[#This Row],[ ]]&lt;&gt;0,MROUND(Tableau4326232454[[#This Row],[ ]]*20,0.5),"ABS"),"-")</f>
        <v>15</v>
      </c>
      <c r="E8" s="18" t="s">
        <v>73</v>
      </c>
      <c r="F8" s="17" t="s">
        <v>74</v>
      </c>
      <c r="G8" s="16"/>
      <c r="H8" s="15">
        <f t="shared" ca="1" si="0"/>
        <v>8</v>
      </c>
      <c r="I8" s="15">
        <f t="shared" ca="1" si="0"/>
        <v>16</v>
      </c>
      <c r="J8" s="15">
        <f t="shared" ca="1" si="0"/>
        <v>37</v>
      </c>
      <c r="K8" s="15" t="s">
        <v>4</v>
      </c>
      <c r="L8" s="15" t="s">
        <v>4</v>
      </c>
      <c r="M8" s="15" t="s">
        <v>4</v>
      </c>
      <c r="N8" s="15" t="s">
        <v>4</v>
      </c>
      <c r="O8" s="15" t="s">
        <v>4</v>
      </c>
      <c r="P8" s="15" t="s">
        <v>4</v>
      </c>
      <c r="Q8" s="14" t="s">
        <v>4</v>
      </c>
      <c r="R8" s="13">
        <f t="shared" ca="1" si="1"/>
        <v>0.8</v>
      </c>
      <c r="S8" s="13">
        <f t="shared" ca="1" si="2"/>
        <v>0.6</v>
      </c>
      <c r="T8" s="12">
        <f ca="1">SUMIF($H$2:$Q$2,"*UAA*",Tableau4326232454[[#This Row],[21]:[Colonne7]])</f>
        <v>16</v>
      </c>
      <c r="U8" s="11">
        <f ca="1">SUMIFS($H$4:$Q$4,$H$2:$Q$2,"*UAA*",Tableau4326232454[[#This Row],[21]:[Colonne7]],"&lt;&gt;-",Tableau4326232454[[#This Row],[21]:[Colonne7]],"&lt;&gt;ABS")</f>
        <v>20</v>
      </c>
      <c r="V8" s="10">
        <f ca="1">SUM(Tableau4326232454[[#This Row],[21]],Tableau4326232454[[#This Row],[22]:[Colonne7]])-T8</f>
        <v>45</v>
      </c>
      <c r="W8" s="9">
        <f ca="1">SUMIFS($H$4:$Q$4,Tableau4326232454[[#This Row],[21]:[Colonne7]],"&lt;&gt;-",Tableau4326232454[[#This Row],[21]:[Colonne7]],"&lt;&gt;ABS")-Tableau4326232454[[#This Row],[      ]]</f>
        <v>75</v>
      </c>
      <c r="Z8" s="1" t="s">
        <v>28</v>
      </c>
      <c r="AA8" s="1" t="str">
        <f>IF(ISERROR(SEARCH("UAA",J2)),"N","O")</f>
        <v>N</v>
      </c>
      <c r="AB8" s="33">
        <f ca="1">IFERROR(AVERAGE(J6:J26)/J4,"-")</f>
        <v>0.61047619047619051</v>
      </c>
      <c r="AC8" s="33">
        <f ca="1">IFERROR(_xlfn.STDEV.S(J6:J26)/J4,"-")</f>
        <v>0.2387148129144103</v>
      </c>
      <c r="AD8" s="32">
        <f ca="1">COUNTIF(Tableau4326232454[12],"&lt;"&amp;J4/2)</f>
        <v>9</v>
      </c>
      <c r="AE8" s="32">
        <f ca="1">COUNTIF(Tableau4326232454[12],"&lt;&gt;ABS")</f>
        <v>23</v>
      </c>
      <c r="AF8" s="31">
        <f t="shared" ca="1" si="3"/>
        <v>0.60869565217391308</v>
      </c>
    </row>
    <row r="9" spans="2:32" ht="22.5" customHeight="1" x14ac:dyDescent="0.25">
      <c r="B9" s="1">
        <v>4</v>
      </c>
      <c r="C9" s="20">
        <f ca="1">IFERROR($AE$2*Tableau4326232454[[#This Row],[   2]]+(1-$AE$2)*Tableau4326232454[[#This Row],[    2]],"-")</f>
        <v>0.94799999999999995</v>
      </c>
      <c r="D9" s="19">
        <f ca="1">IFERROR(IF(Tableau4326232454[[#This Row],[ ]]&lt;&gt;0,MROUND(Tableau4326232454[[#This Row],[ ]]*20,0.5),"ABS"),"-")</f>
        <v>19</v>
      </c>
      <c r="E9" s="18" t="s">
        <v>75</v>
      </c>
      <c r="F9" s="17" t="s">
        <v>76</v>
      </c>
      <c r="G9" s="16"/>
      <c r="H9" s="15">
        <f t="shared" ca="1" si="0"/>
        <v>24</v>
      </c>
      <c r="I9" s="15">
        <f t="shared" ca="1" si="0"/>
        <v>20</v>
      </c>
      <c r="J9" s="15">
        <f t="shared" ca="1" si="0"/>
        <v>38</v>
      </c>
      <c r="K9" s="15" t="s">
        <v>4</v>
      </c>
      <c r="L9" s="15" t="s">
        <v>4</v>
      </c>
      <c r="M9" s="15" t="s">
        <v>4</v>
      </c>
      <c r="N9" s="15" t="s">
        <v>4</v>
      </c>
      <c r="O9" s="15" t="s">
        <v>4</v>
      </c>
      <c r="P9" s="15" t="s">
        <v>4</v>
      </c>
      <c r="Q9" s="14" t="s">
        <v>4</v>
      </c>
      <c r="R9" s="13">
        <f t="shared" ca="1" si="1"/>
        <v>1</v>
      </c>
      <c r="S9" s="13">
        <f t="shared" ca="1" si="2"/>
        <v>0.82666666666666666</v>
      </c>
      <c r="T9" s="12">
        <f ca="1">SUMIF($H$2:$Q$2,"*UAA*",Tableau4326232454[[#This Row],[21]:[Colonne7]])</f>
        <v>20</v>
      </c>
      <c r="U9" s="11">
        <f ca="1">SUMIFS($H$4:$Q$4,$H$2:$Q$2,"*UAA*",Tableau4326232454[[#This Row],[21]:[Colonne7]],"&lt;&gt;-",Tableau4326232454[[#This Row],[21]:[Colonne7]],"&lt;&gt;ABS")</f>
        <v>20</v>
      </c>
      <c r="V9" s="10">
        <f ca="1">SUM(Tableau4326232454[[#This Row],[21]],Tableau4326232454[[#This Row],[22]:[Colonne7]])-T9</f>
        <v>62</v>
      </c>
      <c r="W9" s="9">
        <f ca="1">SUMIFS($H$4:$Q$4,Tableau4326232454[[#This Row],[21]:[Colonne7]],"&lt;&gt;-",Tableau4326232454[[#This Row],[21]:[Colonne7]],"&lt;&gt;ABS")-Tableau4326232454[[#This Row],[      ]]</f>
        <v>75</v>
      </c>
      <c r="Z9" s="1" t="s">
        <v>27</v>
      </c>
      <c r="AA9" s="1" t="str">
        <f>IF(ISERROR(SEARCH("UAA",K2)),"N","O")</f>
        <v>N</v>
      </c>
      <c r="AB9" s="33" t="str">
        <f>IFERROR(AVERAGE(K6:K26)/K4,"-")</f>
        <v>-</v>
      </c>
      <c r="AC9" s="33" t="str">
        <f>IFERROR(_xlfn.STDEV.S(K6:K26)/K4,"-")</f>
        <v>-</v>
      </c>
      <c r="AD9" s="32">
        <f>COUNTIF(Tableau4326232454[Colonne1],"&lt;"&amp;K4/2)</f>
        <v>0</v>
      </c>
      <c r="AE9" s="32">
        <f>COUNTIF(Tableau4326232454[Colonne1],"&lt;&gt;ABS")</f>
        <v>23</v>
      </c>
      <c r="AF9" s="31">
        <f t="shared" si="3"/>
        <v>1</v>
      </c>
    </row>
    <row r="10" spans="2:32" ht="22.5" customHeight="1" x14ac:dyDescent="0.25">
      <c r="B10" s="1">
        <v>5</v>
      </c>
      <c r="C10" s="25">
        <f ca="1">IFERROR($AE$2*Tableau4326232454[[#This Row],[   2]]+(1-$AE$2)*Tableau4326232454[[#This Row],[    2]],"-")</f>
        <v>0.68599999999999994</v>
      </c>
      <c r="D10" s="24">
        <f ca="1">IFERROR(IF(Tableau4326232454[[#This Row],[ ]]&lt;&gt;0,MROUND(Tableau4326232454[[#This Row],[ ]]*20,0.5),"ABS"),"-")</f>
        <v>13.5</v>
      </c>
      <c r="E10" s="18" t="s">
        <v>77</v>
      </c>
      <c r="F10" s="17" t="s">
        <v>78</v>
      </c>
      <c r="G10" s="16"/>
      <c r="H10" s="15">
        <f t="shared" ca="1" si="0"/>
        <v>23</v>
      </c>
      <c r="I10" s="15">
        <f t="shared" ca="1" si="0"/>
        <v>14</v>
      </c>
      <c r="J10" s="15">
        <f t="shared" ca="1" si="0"/>
        <v>26</v>
      </c>
      <c r="K10" s="15" t="s">
        <v>4</v>
      </c>
      <c r="L10" s="15" t="s">
        <v>4</v>
      </c>
      <c r="M10" s="15" t="s">
        <v>4</v>
      </c>
      <c r="N10" s="15" t="s">
        <v>4</v>
      </c>
      <c r="O10" s="15" t="s">
        <v>4</v>
      </c>
      <c r="P10" s="15" t="s">
        <v>4</v>
      </c>
      <c r="Q10" s="14" t="s">
        <v>4</v>
      </c>
      <c r="R10" s="13">
        <f t="shared" ca="1" si="1"/>
        <v>0.7</v>
      </c>
      <c r="S10" s="13">
        <f t="shared" ca="1" si="2"/>
        <v>0.65333333333333332</v>
      </c>
      <c r="T10" s="12">
        <f ca="1">SUMIF($H$2:$Q$2,"*UAA*",Tableau4326232454[[#This Row],[21]:[Colonne7]])</f>
        <v>14</v>
      </c>
      <c r="U10" s="11">
        <f ca="1">SUMIFS($H$4:$Q$4,$H$2:$Q$2,"*UAA*",Tableau4326232454[[#This Row],[21]:[Colonne7]],"&lt;&gt;-",Tableau4326232454[[#This Row],[21]:[Colonne7]],"&lt;&gt;ABS")</f>
        <v>20</v>
      </c>
      <c r="V10" s="10">
        <f ca="1">SUM(Tableau4326232454[[#This Row],[21]],Tableau4326232454[[#This Row],[22]:[Colonne7]])-T10</f>
        <v>49</v>
      </c>
      <c r="W10" s="9">
        <f ca="1">SUMIFS($H$4:$Q$4,Tableau4326232454[[#This Row],[21]:[Colonne7]],"&lt;&gt;-",Tableau4326232454[[#This Row],[21]:[Colonne7]],"&lt;&gt;ABS")-Tableau4326232454[[#This Row],[      ]]</f>
        <v>75</v>
      </c>
      <c r="Z10" s="1" t="s">
        <v>26</v>
      </c>
      <c r="AA10" s="1" t="str">
        <f>IF(ISERROR(SEARCH("UAA",L2)),"N","O")</f>
        <v>N</v>
      </c>
      <c r="AB10" s="33" t="str">
        <f>IFERROR(AVERAGE(L6:L26)/L4,"-")</f>
        <v>-</v>
      </c>
      <c r="AC10" s="33" t="str">
        <f>IFERROR(_xlfn.STDEV.S(L6:L26)/L4,"-")</f>
        <v>-</v>
      </c>
      <c r="AD10" s="32">
        <f>COUNTIF(Tableau4326232454[Colonne2],"&lt;"&amp;L4/2)</f>
        <v>0</v>
      </c>
      <c r="AE10" s="32">
        <f>COUNTIF(Tableau4326232454[Colonne2],"&lt;&gt;ABS")</f>
        <v>23</v>
      </c>
      <c r="AF10" s="31">
        <f t="shared" si="3"/>
        <v>1</v>
      </c>
    </row>
    <row r="11" spans="2:32" ht="22.5" customHeight="1" x14ac:dyDescent="0.25">
      <c r="B11" s="1">
        <v>6</v>
      </c>
      <c r="C11" s="25">
        <f ca="1">IFERROR($AE$2*Tableau4326232454[[#This Row],[   2]]+(1-$AE$2)*Tableau4326232454[[#This Row],[    2]],"-")</f>
        <v>0.67500000000000004</v>
      </c>
      <c r="D11" s="24">
        <f ca="1">IFERROR(IF(Tableau4326232454[[#This Row],[ ]]&lt;&gt;0,MROUND(Tableau4326232454[[#This Row],[ ]]*20,0.5),"ABS"),"-")</f>
        <v>13.5</v>
      </c>
      <c r="E11" s="18" t="s">
        <v>79</v>
      </c>
      <c r="F11" s="17" t="s">
        <v>80</v>
      </c>
      <c r="G11" s="16"/>
      <c r="H11" s="15">
        <f t="shared" ca="1" si="0"/>
        <v>18</v>
      </c>
      <c r="I11" s="15">
        <f t="shared" ca="1" si="0"/>
        <v>13</v>
      </c>
      <c r="J11" s="15">
        <f t="shared" ca="1" si="0"/>
        <v>37</v>
      </c>
      <c r="K11" s="15" t="s">
        <v>4</v>
      </c>
      <c r="L11" s="15" t="s">
        <v>4</v>
      </c>
      <c r="M11" s="15" t="s">
        <v>4</v>
      </c>
      <c r="N11" s="15" t="s">
        <v>4</v>
      </c>
      <c r="O11" s="15" t="s">
        <v>4</v>
      </c>
      <c r="P11" s="15" t="s">
        <v>4</v>
      </c>
      <c r="Q11" s="14" t="s">
        <v>4</v>
      </c>
      <c r="R11" s="13">
        <f t="shared" ca="1" si="1"/>
        <v>0.65</v>
      </c>
      <c r="S11" s="13">
        <f t="shared" ca="1" si="2"/>
        <v>0.73333333333333328</v>
      </c>
      <c r="T11" s="12">
        <f ca="1">SUMIF($H$2:$Q$2,"*UAA*",Tableau4326232454[[#This Row],[21]:[Colonne7]])</f>
        <v>13</v>
      </c>
      <c r="U11" s="11">
        <f ca="1">SUMIFS($H$4:$Q$4,$H$2:$Q$2,"*UAA*",Tableau4326232454[[#This Row],[21]:[Colonne7]],"&lt;&gt;-",Tableau4326232454[[#This Row],[21]:[Colonne7]],"&lt;&gt;ABS")</f>
        <v>20</v>
      </c>
      <c r="V11" s="10">
        <f ca="1">SUM(Tableau4326232454[[#This Row],[21]],Tableau4326232454[[#This Row],[22]:[Colonne7]])-T11</f>
        <v>55</v>
      </c>
      <c r="W11" s="9">
        <f ca="1">SUMIFS($H$4:$Q$4,Tableau4326232454[[#This Row],[21]:[Colonne7]],"&lt;&gt;-",Tableau4326232454[[#This Row],[21]:[Colonne7]],"&lt;&gt;ABS")-Tableau4326232454[[#This Row],[      ]]</f>
        <v>75</v>
      </c>
      <c r="Z11" s="1" t="s">
        <v>25</v>
      </c>
      <c r="AA11" s="1" t="str">
        <f>IF(ISERROR(SEARCH("UAA",M2)),"N","O")</f>
        <v>N</v>
      </c>
      <c r="AB11" s="33" t="str">
        <f>IFERROR(AVERAGE(M6:M26)/M4, "-")</f>
        <v>-</v>
      </c>
      <c r="AC11" s="33" t="str">
        <f>IFERROR(_xlfn.STDEV.S(M6:M26)/M4,"-")</f>
        <v>-</v>
      </c>
      <c r="AD11" s="32">
        <f>COUNTIF(Tableau4326232454[Colonne3],"&lt;"&amp;M4/2)</f>
        <v>0</v>
      </c>
      <c r="AE11" s="32">
        <f>COUNTIF(Tableau4326232454[Colonne3],"&lt;&gt;ABS")</f>
        <v>23</v>
      </c>
      <c r="AF11" s="31">
        <f t="shared" si="3"/>
        <v>1</v>
      </c>
    </row>
    <row r="12" spans="2:32" ht="22.5" customHeight="1" x14ac:dyDescent="0.25">
      <c r="B12" s="1">
        <v>7</v>
      </c>
      <c r="C12" s="20">
        <f ca="1">IFERROR($AE$2*Tableau4326232454[[#This Row],[   2]]+(1-$AE$2)*Tableau4326232454[[#This Row],[    2]],"-")</f>
        <v>0.439</v>
      </c>
      <c r="D12" s="19">
        <f ca="1">IFERROR(IF(Tableau4326232454[[#This Row],[ ]]&lt;&gt;0,MROUND(Tableau4326232454[[#This Row],[ ]]*20,0.5),"ABS"),"-")</f>
        <v>9</v>
      </c>
      <c r="E12" s="18" t="s">
        <v>81</v>
      </c>
      <c r="F12" s="17" t="s">
        <v>82</v>
      </c>
      <c r="G12" s="16"/>
      <c r="H12" s="15">
        <f t="shared" ca="1" si="0"/>
        <v>10</v>
      </c>
      <c r="I12" s="15">
        <f t="shared" ca="1" si="0"/>
        <v>9</v>
      </c>
      <c r="J12" s="15">
        <f t="shared" ca="1" si="0"/>
        <v>21</v>
      </c>
      <c r="K12" s="15" t="s">
        <v>4</v>
      </c>
      <c r="L12" s="15" t="s">
        <v>4</v>
      </c>
      <c r="M12" s="15" t="s">
        <v>4</v>
      </c>
      <c r="N12" s="15" t="s">
        <v>4</v>
      </c>
      <c r="O12" s="15" t="s">
        <v>4</v>
      </c>
      <c r="P12" s="15" t="s">
        <v>4</v>
      </c>
      <c r="Q12" s="14" t="s">
        <v>4</v>
      </c>
      <c r="R12" s="13">
        <f t="shared" ca="1" si="1"/>
        <v>0.45</v>
      </c>
      <c r="S12" s="13">
        <f t="shared" ca="1" si="2"/>
        <v>0.41333333333333333</v>
      </c>
      <c r="T12" s="12">
        <f ca="1">SUMIF($H$2:$Q$2,"*UAA*",Tableau4326232454[[#This Row],[21]:[Colonne7]])</f>
        <v>9</v>
      </c>
      <c r="U12" s="11">
        <f ca="1">SUMIFS($H$4:$Q$4,$H$2:$Q$2,"*UAA*",Tableau4326232454[[#This Row],[21]:[Colonne7]],"&lt;&gt;-",Tableau4326232454[[#This Row],[21]:[Colonne7]],"&lt;&gt;ABS")</f>
        <v>20</v>
      </c>
      <c r="V12" s="10">
        <f ca="1">SUM(Tableau4326232454[[#This Row],[21]],Tableau4326232454[[#This Row],[22]:[Colonne7]])-T12</f>
        <v>31</v>
      </c>
      <c r="W12" s="9">
        <f ca="1">SUMIFS($H$4:$Q$4,Tableau4326232454[[#This Row],[21]:[Colonne7]],"&lt;&gt;-",Tableau4326232454[[#This Row],[21]:[Colonne7]],"&lt;&gt;ABS")-Tableau4326232454[[#This Row],[      ]]</f>
        <v>75</v>
      </c>
      <c r="Z12" s="1" t="s">
        <v>24</v>
      </c>
      <c r="AA12" s="1" t="str">
        <f>IF(ISERROR(SEARCH("UAA",N2)),"N","O")</f>
        <v>N</v>
      </c>
      <c r="AB12" s="33" t="str">
        <f>IFERROR(AVERAGE(N6:N26)/N4, "-")</f>
        <v>-</v>
      </c>
      <c r="AC12" s="33" t="str">
        <f>IFERROR(_xlfn.STDEV.S(N6:N26)/N4,"-")</f>
        <v>-</v>
      </c>
      <c r="AD12" s="32">
        <f>COUNTIF(Tableau4326232454[Colonne4],"&lt;"&amp;N4/2)</f>
        <v>0</v>
      </c>
      <c r="AE12" s="32">
        <f>COUNTIF(Tableau4326232454[Colonne4],"&lt;&gt;ABS")</f>
        <v>23</v>
      </c>
      <c r="AF12" s="31">
        <f t="shared" si="3"/>
        <v>1</v>
      </c>
    </row>
    <row r="13" spans="2:32" ht="22.5" customHeight="1" x14ac:dyDescent="0.25">
      <c r="B13" s="1">
        <v>8</v>
      </c>
      <c r="C13" s="25">
        <f ca="1">IFERROR($AE$2*Tableau4326232454[[#This Row],[   2]]+(1-$AE$2)*Tableau4326232454[[#This Row],[    2]],"-")</f>
        <v>0.84399999999999997</v>
      </c>
      <c r="D13" s="24">
        <f ca="1">IFERROR(IF(Tableau4326232454[[#This Row],[ ]]&lt;&gt;0,MROUND(Tableau4326232454[[#This Row],[ ]]*20,0.5),"ABS"),"-")</f>
        <v>17</v>
      </c>
      <c r="E13" s="18" t="s">
        <v>83</v>
      </c>
      <c r="F13" s="17" t="s">
        <v>84</v>
      </c>
      <c r="G13" s="16"/>
      <c r="H13" s="15">
        <f t="shared" ca="1" si="0"/>
        <v>8</v>
      </c>
      <c r="I13" s="15">
        <f t="shared" ca="1" si="0"/>
        <v>20</v>
      </c>
      <c r="J13" s="15">
        <f t="shared" ca="1" si="0"/>
        <v>28</v>
      </c>
      <c r="K13" s="15" t="s">
        <v>4</v>
      </c>
      <c r="L13" s="15" t="s">
        <v>4</v>
      </c>
      <c r="M13" s="15" t="s">
        <v>4</v>
      </c>
      <c r="N13" s="15" t="s">
        <v>4</v>
      </c>
      <c r="O13" s="15" t="s">
        <v>4</v>
      </c>
      <c r="P13" s="15" t="s">
        <v>4</v>
      </c>
      <c r="Q13" s="14" t="s">
        <v>4</v>
      </c>
      <c r="R13" s="13">
        <f t="shared" ca="1" si="1"/>
        <v>1</v>
      </c>
      <c r="S13" s="13">
        <f t="shared" ca="1" si="2"/>
        <v>0.48</v>
      </c>
      <c r="T13" s="12">
        <f ca="1">SUMIF($H$2:$Q$2,"*UAA*",Tableau4326232454[[#This Row],[21]:[Colonne7]])</f>
        <v>20</v>
      </c>
      <c r="U13" s="11">
        <f ca="1">SUMIFS($H$4:$Q$4,$H$2:$Q$2,"*UAA*",Tableau4326232454[[#This Row],[21]:[Colonne7]],"&lt;&gt;-",Tableau4326232454[[#This Row],[21]:[Colonne7]],"&lt;&gt;ABS")</f>
        <v>20</v>
      </c>
      <c r="V13" s="10">
        <f ca="1">SUM(Tableau4326232454[[#This Row],[21]],Tableau4326232454[[#This Row],[22]:[Colonne7]])-T13</f>
        <v>36</v>
      </c>
      <c r="W13" s="9">
        <f ca="1">SUMIFS($H$4:$Q$4,Tableau4326232454[[#This Row],[21]:[Colonne7]],"&lt;&gt;-",Tableau4326232454[[#This Row],[21]:[Colonne7]],"&lt;&gt;ABS")-Tableau4326232454[[#This Row],[      ]]</f>
        <v>75</v>
      </c>
      <c r="Z13" s="1" t="s">
        <v>23</v>
      </c>
      <c r="AA13" s="1" t="str">
        <f>IF(ISERROR(SEARCH("UAA",O2)),"N","O")</f>
        <v>N</v>
      </c>
      <c r="AB13" s="33" t="str">
        <f>IFERROR(AVERAGE(O6:O26)/O4, "-")</f>
        <v>-</v>
      </c>
      <c r="AC13" s="33" t="str">
        <f>IFERROR(_xlfn.STDEV.S(O6:O26)/O4,"-")</f>
        <v>-</v>
      </c>
      <c r="AD13" s="32">
        <f>COUNTIF(Tableau4326232454[Colonne5],"&lt;"&amp;O4/2)</f>
        <v>0</v>
      </c>
      <c r="AE13" s="32">
        <f>COUNTIF(Tableau4326232454[Colonne5],"&lt;&gt;ABS")</f>
        <v>23</v>
      </c>
      <c r="AF13" s="31">
        <f t="shared" si="3"/>
        <v>1</v>
      </c>
    </row>
    <row r="14" spans="2:32" ht="22.5" customHeight="1" x14ac:dyDescent="0.25">
      <c r="B14" s="1">
        <v>9</v>
      </c>
      <c r="C14" s="25">
        <f ca="1">IFERROR($AE$2*Tableau4326232454[[#This Row],[   2]]+(1-$AE$2)*Tableau4326232454[[#This Row],[    2]],"-")</f>
        <v>0.6409999999999999</v>
      </c>
      <c r="D14" s="24">
        <f ca="1">IFERROR(IF(Tableau4326232454[[#This Row],[ ]]&lt;&gt;0,MROUND(Tableau4326232454[[#This Row],[ ]]*20,0.5),"ABS"),"-")</f>
        <v>13</v>
      </c>
      <c r="E14" s="18" t="s">
        <v>85</v>
      </c>
      <c r="F14" s="17" t="s">
        <v>86</v>
      </c>
      <c r="G14" s="16"/>
      <c r="H14" s="15">
        <f t="shared" ca="1" si="0"/>
        <v>14</v>
      </c>
      <c r="I14" s="15">
        <f t="shared" ca="1" si="0"/>
        <v>15</v>
      </c>
      <c r="J14" s="15">
        <f t="shared" ca="1" si="0"/>
        <v>15</v>
      </c>
      <c r="K14" s="15" t="s">
        <v>4</v>
      </c>
      <c r="L14" s="15" t="s">
        <v>4</v>
      </c>
      <c r="M14" s="15" t="s">
        <v>4</v>
      </c>
      <c r="N14" s="15" t="s">
        <v>4</v>
      </c>
      <c r="O14" s="15" t="s">
        <v>4</v>
      </c>
      <c r="P14" s="15" t="s">
        <v>4</v>
      </c>
      <c r="Q14" s="14" t="s">
        <v>4</v>
      </c>
      <c r="R14" s="13">
        <f t="shared" ca="1" si="1"/>
        <v>0.75</v>
      </c>
      <c r="S14" s="13">
        <f t="shared" ca="1" si="2"/>
        <v>0.38666666666666666</v>
      </c>
      <c r="T14" s="12">
        <f ca="1">SUMIF($H$2:$Q$2,"*UAA*",Tableau4326232454[[#This Row],[21]:[Colonne7]])</f>
        <v>15</v>
      </c>
      <c r="U14" s="11">
        <f ca="1">SUMIFS($H$4:$Q$4,$H$2:$Q$2,"*UAA*",Tableau4326232454[[#This Row],[21]:[Colonne7]],"&lt;&gt;-",Tableau4326232454[[#This Row],[21]:[Colonne7]],"&lt;&gt;ABS")</f>
        <v>20</v>
      </c>
      <c r="V14" s="10">
        <f ca="1">SUM(Tableau4326232454[[#This Row],[21]],Tableau4326232454[[#This Row],[22]:[Colonne7]])-T14</f>
        <v>29</v>
      </c>
      <c r="W14" s="9">
        <f ca="1">SUMIFS($H$4:$Q$4,Tableau4326232454[[#This Row],[21]:[Colonne7]],"&lt;&gt;-",Tableau4326232454[[#This Row],[21]:[Colonne7]],"&lt;&gt;ABS")-Tableau4326232454[[#This Row],[      ]]</f>
        <v>75</v>
      </c>
      <c r="Z14" s="1" t="s">
        <v>22</v>
      </c>
      <c r="AA14" s="1" t="str">
        <f>IF(ISERROR(SEARCH("UAA",P2)),"N","O")</f>
        <v>N</v>
      </c>
      <c r="AB14" s="33" t="str">
        <f>IFERROR(AVERAGE(P6:P26)/P4, "-")</f>
        <v>-</v>
      </c>
      <c r="AC14" s="33" t="str">
        <f>IFERROR(_xlfn.STDEV.S(P6:P26)/P4,"-")</f>
        <v>-</v>
      </c>
      <c r="AD14" s="32">
        <f>COUNTIF(Tableau4326232454[Colonne6],"&lt;"&amp;P4/2)</f>
        <v>0</v>
      </c>
      <c r="AE14" s="32">
        <f>COUNTIF(Tableau4326232454[Colonne6],"&lt;&gt;ABS")</f>
        <v>23</v>
      </c>
      <c r="AF14" s="31">
        <f t="shared" si="3"/>
        <v>1</v>
      </c>
    </row>
    <row r="15" spans="2:32" ht="22.5" customHeight="1" thickBot="1" x14ac:dyDescent="0.3">
      <c r="B15" s="1">
        <v>11</v>
      </c>
      <c r="C15" s="20">
        <f ca="1">IFERROR($AE$2*Tableau4326232454[[#This Row],[   2]]+(1-$AE$2)*Tableau4326232454[[#This Row],[    2]],"-")</f>
        <v>0.33800000000000002</v>
      </c>
      <c r="D15" s="19">
        <f ca="1">IFERROR(IF(Tableau4326232454[[#This Row],[ ]]&lt;&gt;0,MROUND(Tableau4326232454[[#This Row],[ ]]*20,0.5),"ABS"),"-")</f>
        <v>7</v>
      </c>
      <c r="E15" s="18" t="s">
        <v>87</v>
      </c>
      <c r="F15" s="17" t="s">
        <v>88</v>
      </c>
      <c r="G15" s="16"/>
      <c r="H15" s="15">
        <f t="shared" ca="1" si="0"/>
        <v>11</v>
      </c>
      <c r="I15" s="15">
        <f t="shared" ca="1" si="0"/>
        <v>6</v>
      </c>
      <c r="J15" s="15">
        <f t="shared" ca="1" si="0"/>
        <v>21</v>
      </c>
      <c r="K15" s="28" t="s">
        <v>4</v>
      </c>
      <c r="L15" s="28" t="s">
        <v>4</v>
      </c>
      <c r="M15" s="28" t="s">
        <v>4</v>
      </c>
      <c r="N15" s="28" t="s">
        <v>4</v>
      </c>
      <c r="O15" s="28" t="s">
        <v>4</v>
      </c>
      <c r="P15" s="28" t="s">
        <v>4</v>
      </c>
      <c r="Q15" s="14" t="s">
        <v>4</v>
      </c>
      <c r="R15" s="13">
        <f t="shared" ca="1" si="1"/>
        <v>0.3</v>
      </c>
      <c r="S15" s="13">
        <f t="shared" ca="1" si="2"/>
        <v>0.42666666666666669</v>
      </c>
      <c r="T15" s="12">
        <f ca="1">SUMIF($H$2:$Q$2,"*UAA*",Tableau4326232454[[#This Row],[21]:[Colonne7]])</f>
        <v>6</v>
      </c>
      <c r="U15" s="11">
        <f ca="1">SUMIFS($H$4:$Q$4,$H$2:$Q$2,"*UAA*",Tableau4326232454[[#This Row],[21]:[Colonne7]],"&lt;&gt;-",Tableau4326232454[[#This Row],[21]:[Colonne7]],"&lt;&gt;ABS")</f>
        <v>20</v>
      </c>
      <c r="V15" s="10">
        <f ca="1">SUM(Tableau4326232454[[#This Row],[21]],Tableau4326232454[[#This Row],[22]:[Colonne7]])-T15</f>
        <v>32</v>
      </c>
      <c r="W15" s="9">
        <f ca="1">SUMIFS($H$4:$Q$4,Tableau4326232454[[#This Row],[21]:[Colonne7]],"&lt;&gt;-",Tableau4326232454[[#This Row],[21]:[Colonne7]],"&lt;&gt;ABS")-Tableau4326232454[[#This Row],[      ]]</f>
        <v>75</v>
      </c>
      <c r="Z15" s="1" t="s">
        <v>21</v>
      </c>
      <c r="AA15" s="1" t="str">
        <f>IF(ISERROR(SEARCH("UAA",Q2)),"N","O")</f>
        <v>N</v>
      </c>
      <c r="AB15" s="33" t="str">
        <f>IFERROR(AVERAGE(Q6:Q26)/Q4, "-")</f>
        <v>-</v>
      </c>
      <c r="AC15" s="33" t="str">
        <f>IFERROR(_xlfn.STDEV.S(Q6:Q26)/Q4,"-")</f>
        <v>-</v>
      </c>
      <c r="AD15" s="32">
        <f>COUNTIF(Tableau4326232454[Colonne7],"&lt;"&amp;Q4/2)</f>
        <v>0</v>
      </c>
      <c r="AE15" s="32">
        <f>COUNTIF(Tableau4326232454[Colonne7],"&lt;&gt;ABS")</f>
        <v>23</v>
      </c>
      <c r="AF15" s="31">
        <f t="shared" si="3"/>
        <v>1</v>
      </c>
    </row>
    <row r="16" spans="2:32" ht="22.5" customHeight="1" x14ac:dyDescent="0.25">
      <c r="B16" s="1">
        <v>12</v>
      </c>
      <c r="C16" s="20">
        <f ca="1">IFERROR($AE$2*Tableau4326232454[[#This Row],[   2]]+(1-$AE$2)*Tableau4326232454[[#This Row],[    2]],"-")</f>
        <v>0.89000000000000012</v>
      </c>
      <c r="D16" s="19">
        <f ca="1">IFERROR(IF(Tableau4326232454[[#This Row],[ ]]&lt;&gt;0,MROUND(Tableau4326232454[[#This Row],[ ]]*20,0.5),"ABS"),"-")</f>
        <v>18</v>
      </c>
      <c r="E16" s="18" t="s">
        <v>89</v>
      </c>
      <c r="F16" s="17" t="s">
        <v>90</v>
      </c>
      <c r="G16" s="16"/>
      <c r="H16" s="15">
        <f t="shared" ca="1" si="0"/>
        <v>25</v>
      </c>
      <c r="I16" s="15">
        <f t="shared" ca="1" si="0"/>
        <v>18</v>
      </c>
      <c r="J16" s="15">
        <f t="shared" ca="1" si="0"/>
        <v>40</v>
      </c>
      <c r="K16" s="15" t="s">
        <v>4</v>
      </c>
      <c r="L16" s="15" t="s">
        <v>4</v>
      </c>
      <c r="M16" s="15" t="s">
        <v>4</v>
      </c>
      <c r="N16" s="15" t="s">
        <v>4</v>
      </c>
      <c r="O16" s="15" t="s">
        <v>4</v>
      </c>
      <c r="P16" s="15" t="s">
        <v>4</v>
      </c>
      <c r="Q16" s="14" t="s">
        <v>4</v>
      </c>
      <c r="R16" s="13">
        <f t="shared" ca="1" si="1"/>
        <v>0.9</v>
      </c>
      <c r="S16" s="13">
        <f t="shared" ca="1" si="2"/>
        <v>0.8666666666666667</v>
      </c>
      <c r="T16" s="12">
        <f ca="1">SUMIF($H$2:$Q$2,"*UAA*",Tableau4326232454[[#This Row],[21]:[Colonne7]])</f>
        <v>18</v>
      </c>
      <c r="U16" s="11">
        <f ca="1">SUMIFS($H$4:$Q$4,$H$2:$Q$2,"*UAA*",Tableau4326232454[[#This Row],[21]:[Colonne7]],"&lt;&gt;-",Tableau4326232454[[#This Row],[21]:[Colonne7]],"&lt;&gt;ABS")</f>
        <v>20</v>
      </c>
      <c r="V16" s="10">
        <f ca="1">SUM(Tableau4326232454[[#This Row],[21]],Tableau4326232454[[#This Row],[22]:[Colonne7]])-T16</f>
        <v>65</v>
      </c>
      <c r="W16" s="9">
        <f ca="1">SUMIFS($H$4:$Q$4,Tableau4326232454[[#This Row],[21]:[Colonne7]],"&lt;&gt;-",Tableau4326232454[[#This Row],[21]:[Colonne7]],"&lt;&gt;ABS")-Tableau4326232454[[#This Row],[      ]]</f>
        <v>75</v>
      </c>
      <c r="Z16" s="96" t="s">
        <v>20</v>
      </c>
      <c r="AA16" s="97"/>
      <c r="AB16" s="97"/>
      <c r="AC16" s="98"/>
      <c r="AD16" s="30">
        <f ca="1">COUNTIF(C6:C28,"&lt;50%")</f>
        <v>2</v>
      </c>
      <c r="AE16" s="30">
        <f>COUNT(B6:B28)</f>
        <v>23</v>
      </c>
      <c r="AF16" s="29">
        <f t="shared" ca="1" si="3"/>
        <v>0.91304347826086962</v>
      </c>
    </row>
    <row r="17" spans="2:33" ht="22.5" customHeight="1" thickBot="1" x14ac:dyDescent="0.3">
      <c r="B17" s="1">
        <v>13</v>
      </c>
      <c r="C17" s="20">
        <f ca="1">IFERROR($AE$2*Tableau4326232454[[#This Row],[   2]]+(1-$AE$2)*Tableau4326232454[[#This Row],[    2]],"-")</f>
        <v>0.54500000000000004</v>
      </c>
      <c r="D17" s="19">
        <f ca="1">IFERROR(IF(Tableau4326232454[[#This Row],[ ]]&lt;&gt;0,MROUND(Tableau4326232454[[#This Row],[ ]]*20,0.5),"ABS"),"-")</f>
        <v>11</v>
      </c>
      <c r="E17" s="18" t="s">
        <v>91</v>
      </c>
      <c r="F17" s="17" t="s">
        <v>92</v>
      </c>
      <c r="G17" s="16"/>
      <c r="H17" s="15">
        <f t="shared" ca="1" si="0"/>
        <v>9</v>
      </c>
      <c r="I17" s="15">
        <f t="shared" ca="1" si="0"/>
        <v>11</v>
      </c>
      <c r="J17" s="15">
        <f t="shared" ca="1" si="0"/>
        <v>31</v>
      </c>
      <c r="K17" s="15" t="s">
        <v>4</v>
      </c>
      <c r="L17" s="15" t="s">
        <v>4</v>
      </c>
      <c r="M17" s="15" t="s">
        <v>4</v>
      </c>
      <c r="N17" s="15" t="s">
        <v>4</v>
      </c>
      <c r="O17" s="15" t="s">
        <v>4</v>
      </c>
      <c r="P17" s="15" t="s">
        <v>4</v>
      </c>
      <c r="Q17" s="14" t="s">
        <v>4</v>
      </c>
      <c r="R17" s="13">
        <f t="shared" ca="1" si="1"/>
        <v>0.55000000000000004</v>
      </c>
      <c r="S17" s="13">
        <f t="shared" ca="1" si="2"/>
        <v>0.53333333333333333</v>
      </c>
      <c r="T17" s="12">
        <f ca="1">SUMIF($H$2:$Q$2,"*UAA*",Tableau4326232454[[#This Row],[21]:[Colonne7]])</f>
        <v>11</v>
      </c>
      <c r="U17" s="11">
        <f ca="1">SUMIFS($H$4:$Q$4,$H$2:$Q$2,"*UAA*",Tableau4326232454[[#This Row],[21]:[Colonne7]],"&lt;&gt;-",Tableau4326232454[[#This Row],[21]:[Colonne7]],"&lt;&gt;ABS")</f>
        <v>20</v>
      </c>
      <c r="V17" s="10">
        <f ca="1">SUM(Tableau4326232454[[#This Row],[21]],Tableau4326232454[[#This Row],[22]:[Colonne7]])-T17</f>
        <v>40</v>
      </c>
      <c r="W17" s="9">
        <f ca="1">SUMIFS($H$4:$Q$4,Tableau4326232454[[#This Row],[21]:[Colonne7]],"&lt;&gt;-",Tableau4326232454[[#This Row],[21]:[Colonne7]],"&lt;&gt;ABS")-Tableau4326232454[[#This Row],[      ]]</f>
        <v>75</v>
      </c>
      <c r="Z17" s="99" t="s">
        <v>19</v>
      </c>
      <c r="AA17" s="100"/>
      <c r="AB17" s="100"/>
      <c r="AC17" s="100"/>
      <c r="AD17" s="100"/>
      <c r="AE17" s="101"/>
      <c r="AF17" s="27">
        <f ca="1">1-_xlfn.NORM.DIST(50%,AC21,AC22,TRUE)</f>
        <v>0.88653282469204631</v>
      </c>
    </row>
    <row r="18" spans="2:33" ht="22.5" customHeight="1" thickBot="1" x14ac:dyDescent="0.3">
      <c r="B18" s="1">
        <v>14</v>
      </c>
      <c r="C18" s="20">
        <f ca="1">IFERROR($AE$2*Tableau4326232454[[#This Row],[   2]]+(1-$AE$2)*Tableau4326232454[[#This Row],[    2]],"-")</f>
        <v>0.64500000000000002</v>
      </c>
      <c r="D18" s="19">
        <f ca="1">IFERROR(IF(Tableau4326232454[[#This Row],[ ]]&lt;&gt;0,MROUND(Tableau4326232454[[#This Row],[ ]]*20,0.5),"ABS"),"-")</f>
        <v>13</v>
      </c>
      <c r="E18" s="18" t="s">
        <v>93</v>
      </c>
      <c r="F18" s="17" t="s">
        <v>94</v>
      </c>
      <c r="G18" s="16"/>
      <c r="H18" s="15">
        <f t="shared" ca="1" si="0"/>
        <v>16</v>
      </c>
      <c r="I18" s="15">
        <f t="shared" ca="1" si="0"/>
        <v>11</v>
      </c>
      <c r="J18" s="15">
        <f t="shared" ca="1" si="0"/>
        <v>49</v>
      </c>
      <c r="K18" s="15" t="s">
        <v>4</v>
      </c>
      <c r="L18" s="15" t="s">
        <v>4</v>
      </c>
      <c r="M18" s="15" t="s">
        <v>4</v>
      </c>
      <c r="N18" s="15" t="s">
        <v>4</v>
      </c>
      <c r="O18" s="15" t="s">
        <v>4</v>
      </c>
      <c r="P18" s="15" t="s">
        <v>4</v>
      </c>
      <c r="Q18" s="14" t="s">
        <v>4</v>
      </c>
      <c r="R18" s="13">
        <f t="shared" ca="1" si="1"/>
        <v>0.55000000000000004</v>
      </c>
      <c r="S18" s="13">
        <f t="shared" ca="1" si="2"/>
        <v>0.8666666666666667</v>
      </c>
      <c r="T18" s="12">
        <f ca="1">SUMIF($H$2:$Q$2,"*UAA*",Tableau4326232454[[#This Row],[21]:[Colonne7]])</f>
        <v>11</v>
      </c>
      <c r="U18" s="11">
        <f ca="1">SUMIFS($H$4:$Q$4,$H$2:$Q$2,"*UAA*",Tableau4326232454[[#This Row],[21]:[Colonne7]],"&lt;&gt;-",Tableau4326232454[[#This Row],[21]:[Colonne7]],"&lt;&gt;ABS")</f>
        <v>20</v>
      </c>
      <c r="V18" s="10">
        <f ca="1">SUM(Tableau4326232454[[#This Row],[21]],Tableau4326232454[[#This Row],[22]:[Colonne7]])-T18</f>
        <v>65</v>
      </c>
      <c r="W18" s="9">
        <f ca="1">SUMIFS($H$4:$Q$4,Tableau4326232454[[#This Row],[21]:[Colonne7]],"&lt;&gt;-",Tableau4326232454[[#This Row],[21]:[Colonne7]],"&lt;&gt;ABS")-Tableau4326232454[[#This Row],[      ]]</f>
        <v>75</v>
      </c>
    </row>
    <row r="19" spans="2:33" ht="22.5" customHeight="1" x14ac:dyDescent="0.25">
      <c r="B19" s="1">
        <v>15</v>
      </c>
      <c r="C19" s="20">
        <f ca="1">IFERROR($AE$2*Tableau4326232454[[#This Row],[   2]]+(1-$AE$2)*Tableau4326232454[[#This Row],[    2]],"-")</f>
        <v>0.92399999999999993</v>
      </c>
      <c r="D19" s="19">
        <f ca="1">IFERROR(IF(Tableau4326232454[[#This Row],[ ]]&lt;&gt;0,MROUND(Tableau4326232454[[#This Row],[ ]]*20,0.5),"ABS"),"-")</f>
        <v>18.5</v>
      </c>
      <c r="E19" s="18" t="s">
        <v>95</v>
      </c>
      <c r="F19" s="17" t="s">
        <v>96</v>
      </c>
      <c r="G19" s="16"/>
      <c r="H19" s="15">
        <f t="shared" ca="1" si="0"/>
        <v>10</v>
      </c>
      <c r="I19" s="15">
        <f t="shared" ca="1" si="0"/>
        <v>20</v>
      </c>
      <c r="J19" s="15">
        <f t="shared" ca="1" si="0"/>
        <v>46</v>
      </c>
      <c r="K19" s="15" t="s">
        <v>4</v>
      </c>
      <c r="L19" s="15" t="s">
        <v>4</v>
      </c>
      <c r="M19" s="15" t="s">
        <v>4</v>
      </c>
      <c r="N19" s="15" t="s">
        <v>4</v>
      </c>
      <c r="O19" s="15" t="s">
        <v>4</v>
      </c>
      <c r="P19" s="15" t="s">
        <v>4</v>
      </c>
      <c r="Q19" s="14" t="s">
        <v>4</v>
      </c>
      <c r="R19" s="13">
        <f t="shared" ca="1" si="1"/>
        <v>1</v>
      </c>
      <c r="S19" s="13">
        <f t="shared" ca="1" si="2"/>
        <v>0.7466666666666667</v>
      </c>
      <c r="T19" s="12">
        <f ca="1">SUMIF($H$2:$Q$2,"*UAA*",Tableau4326232454[[#This Row],[21]:[Colonne7]])</f>
        <v>20</v>
      </c>
      <c r="U19" s="11">
        <f ca="1">SUMIFS($H$4:$Q$4,$H$2:$Q$2,"*UAA*",Tableau4326232454[[#This Row],[21]:[Colonne7]],"&lt;&gt;-",Tableau4326232454[[#This Row],[21]:[Colonne7]],"&lt;&gt;ABS")</f>
        <v>20</v>
      </c>
      <c r="V19" s="10">
        <f ca="1">SUM(Tableau4326232454[[#This Row],[21]],Tableau4326232454[[#This Row],[22]:[Colonne7]])-T19</f>
        <v>56</v>
      </c>
      <c r="W19" s="9">
        <f ca="1">SUMIFS($H$4:$Q$4,Tableau4326232454[[#This Row],[21]:[Colonne7]],"&lt;&gt;-",Tableau4326232454[[#This Row],[21]:[Colonne7]],"&lt;&gt;ABS")-Tableau4326232454[[#This Row],[      ]]</f>
        <v>75</v>
      </c>
      <c r="Z19" s="102" t="s">
        <v>18</v>
      </c>
      <c r="AA19" s="103"/>
      <c r="AB19" s="103"/>
      <c r="AC19" s="103"/>
      <c r="AD19" s="104"/>
    </row>
    <row r="20" spans="2:33" ht="22.5" customHeight="1" thickBot="1" x14ac:dyDescent="0.3">
      <c r="B20" s="1">
        <v>16</v>
      </c>
      <c r="C20" s="20">
        <f ca="1">IFERROR($AE$2*Tableau4326232454[[#This Row],[   2]]+(1-$AE$2)*Tableau4326232454[[#This Row],[    2]],"-")</f>
        <v>0.64</v>
      </c>
      <c r="D20" s="19">
        <f ca="1">IFERROR(IF(Tableau4326232454[[#This Row],[ ]]&lt;&gt;0,MROUND(Tableau4326232454[[#This Row],[ ]]*20,0.5),"ABS"),"-")</f>
        <v>13</v>
      </c>
      <c r="E20" s="18" t="s">
        <v>97</v>
      </c>
      <c r="F20" s="17" t="s">
        <v>98</v>
      </c>
      <c r="G20" s="16"/>
      <c r="H20" s="15">
        <f t="shared" ca="1" si="0"/>
        <v>13</v>
      </c>
      <c r="I20" s="15">
        <f t="shared" ca="1" si="0"/>
        <v>12</v>
      </c>
      <c r="J20" s="15">
        <f t="shared" ca="1" si="0"/>
        <v>42</v>
      </c>
      <c r="K20" s="15" t="s">
        <v>4</v>
      </c>
      <c r="L20" s="15" t="s">
        <v>4</v>
      </c>
      <c r="M20" s="15" t="s">
        <v>4</v>
      </c>
      <c r="N20" s="15" t="s">
        <v>4</v>
      </c>
      <c r="O20" s="15" t="s">
        <v>4</v>
      </c>
      <c r="P20" s="15" t="s">
        <v>4</v>
      </c>
      <c r="Q20" s="14" t="s">
        <v>4</v>
      </c>
      <c r="R20" s="13">
        <f t="shared" ca="1" si="1"/>
        <v>0.6</v>
      </c>
      <c r="S20" s="13">
        <f t="shared" ca="1" si="2"/>
        <v>0.73333333333333328</v>
      </c>
      <c r="T20" s="12">
        <f ca="1">SUMIF($H$2:$Q$2,"*UAA*",Tableau4326232454[[#This Row],[21]:[Colonne7]])</f>
        <v>12</v>
      </c>
      <c r="U20" s="11">
        <f ca="1">SUMIFS($H$4:$Q$4,$H$2:$Q$2,"*UAA*",Tableau4326232454[[#This Row],[21]:[Colonne7]],"&lt;&gt;-",Tableau4326232454[[#This Row],[21]:[Colonne7]],"&lt;&gt;ABS")</f>
        <v>20</v>
      </c>
      <c r="V20" s="10">
        <f ca="1">SUM(Tableau4326232454[[#This Row],[21]],Tableau4326232454[[#This Row],[22]:[Colonne7]])-T20</f>
        <v>55</v>
      </c>
      <c r="W20" s="9">
        <f ca="1">SUMIFS($H$4:$Q$4,Tableau4326232454[[#This Row],[21]:[Colonne7]],"&lt;&gt;-",Tableau4326232454[[#This Row],[21]:[Colonne7]],"&lt;&gt;ABS")-Tableau4326232454[[#This Row],[      ]]</f>
        <v>75</v>
      </c>
      <c r="Z20" s="105"/>
      <c r="AA20" s="106"/>
      <c r="AB20" s="106"/>
      <c r="AC20" s="106"/>
      <c r="AD20" s="107"/>
    </row>
    <row r="21" spans="2:33" ht="22.5" customHeight="1" x14ac:dyDescent="0.25">
      <c r="B21" s="1">
        <v>17</v>
      </c>
      <c r="C21" s="25">
        <f ca="1">IFERROR($AE$2*Tableau4326232454[[#This Row],[   2]]+(1-$AE$2)*Tableau4326232454[[#This Row],[    2]],"-")</f>
        <v>0.6409999999999999</v>
      </c>
      <c r="D21" s="24">
        <f ca="1">IFERROR(IF(Tableau4326232454[[#This Row],[ ]]&lt;&gt;0,MROUND(Tableau4326232454[[#This Row],[ ]]*20,0.5),"ABS"),"-")</f>
        <v>13</v>
      </c>
      <c r="E21" s="18" t="s">
        <v>99</v>
      </c>
      <c r="F21" s="17" t="s">
        <v>100</v>
      </c>
      <c r="G21" s="16"/>
      <c r="H21" s="15">
        <f t="shared" ca="1" si="0"/>
        <v>16</v>
      </c>
      <c r="I21" s="15">
        <f t="shared" ca="1" si="0"/>
        <v>15</v>
      </c>
      <c r="J21" s="15">
        <f t="shared" ca="1" si="0"/>
        <v>13</v>
      </c>
      <c r="K21" s="15" t="s">
        <v>4</v>
      </c>
      <c r="L21" s="15" t="s">
        <v>4</v>
      </c>
      <c r="M21" s="15" t="s">
        <v>4</v>
      </c>
      <c r="N21" s="15" t="s">
        <v>4</v>
      </c>
      <c r="O21" s="15" t="s">
        <v>4</v>
      </c>
      <c r="P21" s="15" t="s">
        <v>4</v>
      </c>
      <c r="Q21" s="14" t="s">
        <v>4</v>
      </c>
      <c r="R21" s="13">
        <f t="shared" ca="1" si="1"/>
        <v>0.75</v>
      </c>
      <c r="S21" s="13">
        <f t="shared" ca="1" si="2"/>
        <v>0.38666666666666666</v>
      </c>
      <c r="T21" s="12">
        <f ca="1">SUMIF($H$2:$Q$2,"*UAA*",Tableau4326232454[[#This Row],[21]:[Colonne7]])</f>
        <v>15</v>
      </c>
      <c r="U21" s="11">
        <f ca="1">SUMIFS($H$4:$Q$4,$H$2:$Q$2,"*UAA*",Tableau4326232454[[#This Row],[21]:[Colonne7]],"&lt;&gt;-",Tableau4326232454[[#This Row],[21]:[Colonne7]],"&lt;&gt;ABS")</f>
        <v>20</v>
      </c>
      <c r="V21" s="10">
        <f ca="1">SUM(Tableau4326232454[[#This Row],[21]],Tableau4326232454[[#This Row],[22]:[Colonne7]])-T21</f>
        <v>29</v>
      </c>
      <c r="W21" s="9">
        <f ca="1">SUMIFS($H$4:$Q$4,Tableau4326232454[[#This Row],[21]:[Colonne7]],"&lt;&gt;-",Tableau4326232454[[#This Row],[21]:[Colonne7]],"&lt;&gt;ABS")-Tableau4326232454[[#This Row],[      ]]</f>
        <v>75</v>
      </c>
      <c r="Z21" s="108" t="s">
        <v>17</v>
      </c>
      <c r="AA21" s="109"/>
      <c r="AB21" s="110"/>
      <c r="AC21" s="111">
        <f ca="1">AVERAGE(D6:D28)/20</f>
        <v>0.67826086956521736</v>
      </c>
      <c r="AD21" s="112"/>
      <c r="AG21" s="26"/>
    </row>
    <row r="22" spans="2:33" ht="22.5" customHeight="1" thickBot="1" x14ac:dyDescent="0.3">
      <c r="B22" s="1">
        <v>18</v>
      </c>
      <c r="C22" s="25">
        <f ca="1">IFERROR($AE$2*Tableau4326232454[[#This Row],[   2]]+(1-$AE$2)*Tableau4326232454[[#This Row],[    2]],"-")</f>
        <v>0.81899999999999995</v>
      </c>
      <c r="D22" s="24">
        <f ca="1">IFERROR(IF(Tableau4326232454[[#This Row],[ ]]&lt;&gt;0,MROUND(Tableau4326232454[[#This Row],[ ]]*20,0.5),"ABS"),"-")</f>
        <v>16.5</v>
      </c>
      <c r="E22" s="18" t="s">
        <v>101</v>
      </c>
      <c r="F22" s="17" t="s">
        <v>102</v>
      </c>
      <c r="G22" s="16"/>
      <c r="H22" s="15">
        <f t="shared" ca="1" si="0"/>
        <v>22</v>
      </c>
      <c r="I22" s="15">
        <f t="shared" ca="1" si="0"/>
        <v>17</v>
      </c>
      <c r="J22" s="15">
        <f t="shared" ca="1" si="0"/>
        <v>34</v>
      </c>
      <c r="K22" s="15" t="s">
        <v>4</v>
      </c>
      <c r="L22" s="15" t="s">
        <v>4</v>
      </c>
      <c r="M22" s="15" t="s">
        <v>4</v>
      </c>
      <c r="N22" s="15" t="s">
        <v>4</v>
      </c>
      <c r="O22" s="15" t="s">
        <v>4</v>
      </c>
      <c r="P22" s="15" t="s">
        <v>4</v>
      </c>
      <c r="Q22" s="14" t="s">
        <v>4</v>
      </c>
      <c r="R22" s="13">
        <f t="shared" ca="1" si="1"/>
        <v>0.85</v>
      </c>
      <c r="S22" s="13">
        <f t="shared" ca="1" si="2"/>
        <v>0.7466666666666667</v>
      </c>
      <c r="T22" s="12">
        <f ca="1">SUMIF($H$2:$Q$2,"*UAA*",Tableau4326232454[[#This Row],[21]:[Colonne7]])</f>
        <v>17</v>
      </c>
      <c r="U22" s="11">
        <f ca="1">SUMIFS($H$4:$Q$4,$H$2:$Q$2,"*UAA*",Tableau4326232454[[#This Row],[21]:[Colonne7]],"&lt;&gt;-",Tableau4326232454[[#This Row],[21]:[Colonne7]],"&lt;&gt;ABS")</f>
        <v>20</v>
      </c>
      <c r="V22" s="10">
        <f ca="1">SUM(Tableau4326232454[[#This Row],[21]],Tableau4326232454[[#This Row],[22]:[Colonne7]])-T22</f>
        <v>56</v>
      </c>
      <c r="W22" s="9">
        <f ca="1">SUMIFS($H$4:$Q$4,Tableau4326232454[[#This Row],[21]:[Colonne7]],"&lt;&gt;-",Tableau4326232454[[#This Row],[21]:[Colonne7]],"&lt;&gt;ABS")-Tableau4326232454[[#This Row],[      ]]</f>
        <v>75</v>
      </c>
      <c r="Z22" s="82" t="s">
        <v>16</v>
      </c>
      <c r="AA22" s="83"/>
      <c r="AB22" s="84"/>
      <c r="AC22" s="85">
        <f ca="1">_xlfn.STDEV.S(D6:D27)/20</f>
        <v>0.14753108851330973</v>
      </c>
      <c r="AD22" s="86"/>
    </row>
    <row r="23" spans="2:33" ht="22.5" customHeight="1" x14ac:dyDescent="0.25">
      <c r="B23" s="1">
        <v>19</v>
      </c>
      <c r="C23" s="20">
        <f ca="1">IFERROR($AE$2*Tableau4326232454[[#This Row],[   2]]+(1-$AE$2)*Tableau4326232454[[#This Row],[    2]],"-")</f>
        <v>0.80099999999999993</v>
      </c>
      <c r="D23" s="19">
        <f ca="1">IFERROR(IF(Tableau4326232454[[#This Row],[ ]]&lt;&gt;0,MROUND(Tableau4326232454[[#This Row],[ ]]*20,0.5),"ABS"),"-")</f>
        <v>16</v>
      </c>
      <c r="E23" s="18" t="s">
        <v>103</v>
      </c>
      <c r="F23" s="17" t="s">
        <v>104</v>
      </c>
      <c r="G23" s="16"/>
      <c r="H23" s="15">
        <f t="shared" ca="1" si="0"/>
        <v>21</v>
      </c>
      <c r="I23" s="15">
        <f t="shared" ca="1" si="0"/>
        <v>19</v>
      </c>
      <c r="J23" s="15">
        <f t="shared" ca="1" si="0"/>
        <v>13</v>
      </c>
      <c r="K23" s="15" t="s">
        <v>4</v>
      </c>
      <c r="L23" s="15" t="s">
        <v>4</v>
      </c>
      <c r="M23" s="15" t="s">
        <v>4</v>
      </c>
      <c r="N23" s="15" t="s">
        <v>4</v>
      </c>
      <c r="O23" s="15" t="s">
        <v>4</v>
      </c>
      <c r="P23" s="15" t="s">
        <v>4</v>
      </c>
      <c r="Q23" s="14" t="s">
        <v>4</v>
      </c>
      <c r="R23" s="13">
        <f t="shared" ca="1" si="1"/>
        <v>0.95</v>
      </c>
      <c r="S23" s="13">
        <f t="shared" ca="1" si="2"/>
        <v>0.45333333333333331</v>
      </c>
      <c r="T23" s="12">
        <f ca="1">SUMIF($H$2:$Q$2,"*UAA*",Tableau4326232454[[#This Row],[21]:[Colonne7]])</f>
        <v>19</v>
      </c>
      <c r="U23" s="11">
        <f ca="1">SUMIFS($H$4:$Q$4,$H$2:$Q$2,"*UAA*",Tableau4326232454[[#This Row],[21]:[Colonne7]],"&lt;&gt;-",Tableau4326232454[[#This Row],[21]:[Colonne7]],"&lt;&gt;ABS")</f>
        <v>20</v>
      </c>
      <c r="V23" s="10">
        <f ca="1">SUM(Tableau4326232454[[#This Row],[21]],Tableau4326232454[[#This Row],[22]:[Colonne7]])-T23</f>
        <v>34</v>
      </c>
      <c r="W23" s="9">
        <f ca="1">SUMIFS($H$4:$Q$4,Tableau4326232454[[#This Row],[21]:[Colonne7]],"&lt;&gt;-",Tableau4326232454[[#This Row],[21]:[Colonne7]],"&lt;&gt;ABS")-Tableau4326232454[[#This Row],[      ]]</f>
        <v>75</v>
      </c>
    </row>
    <row r="24" spans="2:33" ht="22.5" customHeight="1" thickBot="1" x14ac:dyDescent="0.3">
      <c r="B24" s="1">
        <v>20</v>
      </c>
      <c r="C24" s="20">
        <f ca="1">IFERROR($AE$2*Tableau4326232454[[#This Row],[   2]]+(1-$AE$2)*Tableau4326232454[[#This Row],[    2]],"-")</f>
        <v>0.63200000000000001</v>
      </c>
      <c r="D24" s="19">
        <f ca="1">IFERROR(IF(Tableau4326232454[[#This Row],[ ]]&lt;&gt;0,MROUND(Tableau4326232454[[#This Row],[ ]]*20,0.5),"ABS"),"-")</f>
        <v>12.5</v>
      </c>
      <c r="E24" s="18" t="s">
        <v>105</v>
      </c>
      <c r="F24" s="17" t="s">
        <v>106</v>
      </c>
      <c r="G24" s="16"/>
      <c r="H24" s="15">
        <f t="shared" ca="1" si="0"/>
        <v>15</v>
      </c>
      <c r="I24" s="15">
        <f t="shared" ca="1" si="0"/>
        <v>12</v>
      </c>
      <c r="J24" s="15">
        <f t="shared" ca="1" si="0"/>
        <v>38</v>
      </c>
      <c r="K24" s="15" t="s">
        <v>4</v>
      </c>
      <c r="L24" s="15" t="s">
        <v>4</v>
      </c>
      <c r="M24" s="15" t="s">
        <v>4</v>
      </c>
      <c r="N24" s="15" t="s">
        <v>4</v>
      </c>
      <c r="O24" s="15" t="s">
        <v>4</v>
      </c>
      <c r="P24" s="15" t="s">
        <v>4</v>
      </c>
      <c r="Q24" s="14" t="s">
        <v>4</v>
      </c>
      <c r="R24" s="13">
        <f t="shared" ca="1" si="1"/>
        <v>0.6</v>
      </c>
      <c r="S24" s="13">
        <f t="shared" ca="1" si="2"/>
        <v>0.70666666666666667</v>
      </c>
      <c r="T24" s="12">
        <f ca="1">SUMIF($H$2:$Q$2,"*UAA*",Tableau4326232454[[#This Row],[21]:[Colonne7]])</f>
        <v>12</v>
      </c>
      <c r="U24" s="11">
        <f ca="1">SUMIFS($H$4:$Q$4,$H$2:$Q$2,"*UAA*",Tableau4326232454[[#This Row],[21]:[Colonne7]],"&lt;&gt;-",Tableau4326232454[[#This Row],[21]:[Colonne7]],"&lt;&gt;ABS")</f>
        <v>20</v>
      </c>
      <c r="V24" s="10">
        <f ca="1">SUM(Tableau4326232454[[#This Row],[21]],Tableau4326232454[[#This Row],[22]:[Colonne7]])-T24</f>
        <v>53</v>
      </c>
      <c r="W24" s="9">
        <f ca="1">SUMIFS($H$4:$Q$4,Tableau4326232454[[#This Row],[21]:[Colonne7]],"&lt;&gt;-",Tableau4326232454[[#This Row],[21]:[Colonne7]],"&lt;&gt;ABS")-Tableau4326232454[[#This Row],[      ]]</f>
        <v>75</v>
      </c>
      <c r="Z24"/>
      <c r="AA24"/>
      <c r="AB24"/>
      <c r="AC24" s="23" t="s">
        <v>15</v>
      </c>
      <c r="AD24" s="23" t="s">
        <v>14</v>
      </c>
    </row>
    <row r="25" spans="2:33" ht="22.5" customHeight="1" x14ac:dyDescent="0.25">
      <c r="B25" s="1">
        <v>10</v>
      </c>
      <c r="C25" s="25">
        <f ca="1">IFERROR($AE$2*Tableau4326232454[[#This Row],[   2]]+(1-$AE$2)*Tableau4326232454[[#This Row],[    2]],"-")</f>
        <v>0.60899999999999999</v>
      </c>
      <c r="D25" s="24">
        <f ca="1">IFERROR(IF(Tableau4326232454[[#This Row],[ ]]&lt;&gt;0,MROUND(Tableau4326232454[[#This Row],[ ]]*20,0.5),"ABS"),"-")</f>
        <v>12</v>
      </c>
      <c r="E25" s="18" t="s">
        <v>107</v>
      </c>
      <c r="F25" s="17" t="s">
        <v>108</v>
      </c>
      <c r="G25" s="16"/>
      <c r="H25" s="15">
        <f t="shared" ca="1" si="0"/>
        <v>8</v>
      </c>
      <c r="I25" s="15">
        <f t="shared" ca="1" si="0"/>
        <v>15</v>
      </c>
      <c r="J25" s="15">
        <f t="shared" ca="1" si="0"/>
        <v>13</v>
      </c>
      <c r="K25" s="15" t="s">
        <v>4</v>
      </c>
      <c r="L25" s="15" t="s">
        <v>4</v>
      </c>
      <c r="M25" s="15" t="s">
        <v>4</v>
      </c>
      <c r="N25" s="15" t="s">
        <v>4</v>
      </c>
      <c r="O25" s="15" t="s">
        <v>4</v>
      </c>
      <c r="P25" s="15" t="s">
        <v>4</v>
      </c>
      <c r="Q25" s="14" t="s">
        <v>4</v>
      </c>
      <c r="R25" s="13">
        <f t="shared" ca="1" si="1"/>
        <v>0.75</v>
      </c>
      <c r="S25" s="13">
        <f t="shared" ca="1" si="2"/>
        <v>0.28000000000000003</v>
      </c>
      <c r="T25" s="12">
        <f ca="1">SUMIF($H$2:$Q$2,"*UAA*",Tableau4326232454[[#This Row],[21]:[Colonne7]])</f>
        <v>15</v>
      </c>
      <c r="U25" s="11">
        <f ca="1">SUMIFS($H$4:$Q$4,$H$2:$Q$2,"*UAA*",Tableau4326232454[[#This Row],[21]:[Colonne7]],"&lt;&gt;-",Tableau4326232454[[#This Row],[21]:[Colonne7]],"&lt;&gt;ABS")</f>
        <v>20</v>
      </c>
      <c r="V25" s="10">
        <f ca="1">SUM(Tableau4326232454[[#This Row],[21]],Tableau4326232454[[#This Row],[22]:[Colonne7]])-T25</f>
        <v>21</v>
      </c>
      <c r="W25" s="9">
        <f ca="1">SUMIFS($H$4:$Q$4,Tableau4326232454[[#This Row],[21]:[Colonne7]],"&lt;&gt;-",Tableau4326232454[[#This Row],[21]:[Colonne7]],"&lt;&gt;ABS")-Tableau4326232454[[#This Row],[      ]]</f>
        <v>75</v>
      </c>
      <c r="Z25" s="87">
        <v>0.9</v>
      </c>
      <c r="AA25" s="88"/>
      <c r="AB25" s="89"/>
      <c r="AC25" s="22">
        <f ca="1">$AC$21-1.64*$AC$22</f>
        <v>0.43630988440338941</v>
      </c>
      <c r="AD25" s="21">
        <f ca="1">$AC$21+1.64*$AC$22</f>
        <v>0.92021185472704525</v>
      </c>
    </row>
    <row r="26" spans="2:33" ht="20.25" customHeight="1" x14ac:dyDescent="0.25">
      <c r="B26" s="1">
        <v>21</v>
      </c>
      <c r="C26" s="20">
        <f ca="1">IFERROR($AE$2*Tableau4326232454[[#This Row],[   2]]+(1-$AE$2)*Tableau4326232454[[#This Row],[    2]],"-")</f>
        <v>0.61699999999999999</v>
      </c>
      <c r="D26" s="19">
        <f ca="1">IFERROR(IF(Tableau4326232454[[#This Row],[ ]]&lt;&gt;0,MROUND(Tableau4326232454[[#This Row],[ ]]*20,0.5),"ABS"),"-")</f>
        <v>12.5</v>
      </c>
      <c r="E26" s="18" t="s">
        <v>109</v>
      </c>
      <c r="F26" s="17" t="s">
        <v>110</v>
      </c>
      <c r="G26" s="16"/>
      <c r="H26" s="15">
        <f t="shared" ca="1" si="0"/>
        <v>10</v>
      </c>
      <c r="I26" s="15">
        <f t="shared" ca="1" si="0"/>
        <v>11</v>
      </c>
      <c r="J26" s="15">
        <f t="shared" ca="1" si="0"/>
        <v>48</v>
      </c>
      <c r="K26" s="15" t="s">
        <v>4</v>
      </c>
      <c r="L26" s="15" t="s">
        <v>4</v>
      </c>
      <c r="M26" s="15" t="s">
        <v>4</v>
      </c>
      <c r="N26" s="15" t="s">
        <v>4</v>
      </c>
      <c r="O26" s="15" t="s">
        <v>4</v>
      </c>
      <c r="P26" s="15" t="s">
        <v>4</v>
      </c>
      <c r="Q26" s="14" t="s">
        <v>4</v>
      </c>
      <c r="R26" s="13">
        <f t="shared" ca="1" si="1"/>
        <v>0.55000000000000004</v>
      </c>
      <c r="S26" s="13">
        <f t="shared" ca="1" si="2"/>
        <v>0.77333333333333332</v>
      </c>
      <c r="T26" s="12">
        <f ca="1">SUMIF($H$2:$Q$2,"*UAA*",Tableau4326232454[[#This Row],[21]:[Colonne7]])</f>
        <v>11</v>
      </c>
      <c r="U26" s="11">
        <f ca="1">SUMIFS($H$4:$Q$4,$H$2:$Q$2,"*UAA*",Tableau4326232454[[#This Row],[21]:[Colonne7]],"&lt;&gt;-",Tableau4326232454[[#This Row],[21]:[Colonne7]],"&lt;&gt;ABS")</f>
        <v>20</v>
      </c>
      <c r="V26" s="10">
        <f ca="1">SUM(Tableau4326232454[[#This Row],[21]],Tableau4326232454[[#This Row],[22]:[Colonne7]])-T26</f>
        <v>58</v>
      </c>
      <c r="W26" s="9">
        <f ca="1">SUMIFS($H$4:$Q$4,Tableau4326232454[[#This Row],[21]:[Colonne7]],"&lt;&gt;-",Tableau4326232454[[#This Row],[21]:[Colonne7]],"&lt;&gt;ABS")-Tableau4326232454[[#This Row],[      ]]</f>
        <v>75</v>
      </c>
      <c r="Z26" s="90">
        <v>0.95</v>
      </c>
      <c r="AA26" s="91"/>
      <c r="AB26" s="92"/>
      <c r="AC26" s="8">
        <f ca="1">$AC$21-1.96*$AC$22</f>
        <v>0.38909993607913029</v>
      </c>
      <c r="AD26" s="7">
        <f ca="1">MIN($AC$21+1.96*$AC$22,1)</f>
        <v>0.96742180305130443</v>
      </c>
    </row>
    <row r="27" spans="2:33" ht="20.25" customHeight="1" thickBot="1" x14ac:dyDescent="0.3">
      <c r="B27" s="1">
        <v>22</v>
      </c>
      <c r="C27" s="20">
        <f ca="1">IFERROR($AE$2*Tableau4326232454[[#This Row],[   2]]+(1-$AE$2)*Tableau4326232454[[#This Row],[    2]],"-")</f>
        <v>0.6419999999999999</v>
      </c>
      <c r="D27" s="19">
        <f ca="1">IFERROR(IF(Tableau4326232454[[#This Row],[ ]]&lt;&gt;0,MROUND(Tableau4326232454[[#This Row],[ ]]*20,0.5),"ABS"),"-")</f>
        <v>13</v>
      </c>
      <c r="E27" s="18" t="s">
        <v>111</v>
      </c>
      <c r="F27" s="17" t="s">
        <v>112</v>
      </c>
      <c r="G27" s="16"/>
      <c r="H27" s="15">
        <f t="shared" ca="1" si="0"/>
        <v>22</v>
      </c>
      <c r="I27" s="15">
        <f t="shared" ca="1" si="0"/>
        <v>14</v>
      </c>
      <c r="J27" s="15">
        <f t="shared" ca="1" si="0"/>
        <v>16</v>
      </c>
      <c r="K27" s="15" t="s">
        <v>4</v>
      </c>
      <c r="L27" s="15" t="s">
        <v>4</v>
      </c>
      <c r="M27" s="15" t="s">
        <v>4</v>
      </c>
      <c r="N27" s="15" t="s">
        <v>4</v>
      </c>
      <c r="O27" s="15" t="s">
        <v>4</v>
      </c>
      <c r="P27" s="15" t="s">
        <v>4</v>
      </c>
      <c r="Q27" s="14" t="s">
        <v>4</v>
      </c>
      <c r="R27" s="13">
        <f t="shared" ca="1" si="1"/>
        <v>0.7</v>
      </c>
      <c r="S27" s="13">
        <f t="shared" ca="1" si="2"/>
        <v>0.50666666666666671</v>
      </c>
      <c r="T27" s="12">
        <f ca="1">SUMIF($H$2:$Q$2,"*UAA*",Tableau4326232454[[#This Row],[21]:[Colonne7]])</f>
        <v>14</v>
      </c>
      <c r="U27" s="11">
        <f ca="1">SUMIFS($H$4:$Q$4,$H$2:$Q$2,"*UAA*",Tableau4326232454[[#This Row],[21]:[Colonne7]],"&lt;&gt;-",Tableau4326232454[[#This Row],[21]:[Colonne7]],"&lt;&gt;ABS")</f>
        <v>20</v>
      </c>
      <c r="V27" s="10">
        <f ca="1">SUM(Tableau4326232454[[#This Row],[21]],Tableau4326232454[[#This Row],[22]:[Colonne7]])-T27</f>
        <v>38</v>
      </c>
      <c r="W27" s="9">
        <f ca="1">SUMIFS($H$4:$Q$4,Tableau4326232454[[#This Row],[21]:[Colonne7]],"&lt;&gt;-",Tableau4326232454[[#This Row],[21]:[Colonne7]],"&lt;&gt;ABS")-Tableau4326232454[[#This Row],[      ]]</f>
        <v>75</v>
      </c>
      <c r="Z27" s="93">
        <v>0.99</v>
      </c>
      <c r="AA27" s="94"/>
      <c r="AB27" s="95"/>
      <c r="AC27" s="6">
        <f ca="1">MAX($AC$21-2.58*$AC$22,0)</f>
        <v>0.29763066120087822</v>
      </c>
      <c r="AD27" s="5">
        <f ca="1">MIN($AC$21+2.58*$AC$22,1)</f>
        <v>1</v>
      </c>
    </row>
    <row r="28" spans="2:33" ht="20.25" customHeight="1" x14ac:dyDescent="0.25">
      <c r="B28" s="1">
        <v>23</v>
      </c>
      <c r="C28" s="54">
        <f ca="1">IFERROR($AE$2*Tableau4326232454[[#This Row],[   2]]+(1-$AE$2)*Tableau4326232454[[#This Row],[    2]],"-")</f>
        <v>0.52900000000000003</v>
      </c>
      <c r="D28" s="53">
        <f ca="1">IFERROR(IF(Tableau4326232454[[#This Row],[ ]]&lt;&gt;0,MROUND(Tableau4326232454[[#This Row],[ ]]*20,0.5),"ABS"),"-")</f>
        <v>10.5</v>
      </c>
      <c r="E28" s="18" t="s">
        <v>113</v>
      </c>
      <c r="F28" s="17" t="s">
        <v>114</v>
      </c>
      <c r="G28" s="52"/>
      <c r="H28" s="15">
        <f t="shared" ca="1" si="0"/>
        <v>15</v>
      </c>
      <c r="I28" s="15">
        <f t="shared" ca="1" si="0"/>
        <v>11</v>
      </c>
      <c r="J28" s="15">
        <f t="shared" ca="1" si="0"/>
        <v>21</v>
      </c>
      <c r="K28" s="15" t="s">
        <v>4</v>
      </c>
      <c r="L28" s="15" t="s">
        <v>4</v>
      </c>
      <c r="M28" s="15" t="s">
        <v>4</v>
      </c>
      <c r="N28" s="15" t="s">
        <v>4</v>
      </c>
      <c r="O28" s="15" t="s">
        <v>4</v>
      </c>
      <c r="P28" s="15" t="s">
        <v>4</v>
      </c>
      <c r="Q28" s="14" t="s">
        <v>4</v>
      </c>
      <c r="R28" s="13">
        <f t="shared" ca="1" si="1"/>
        <v>0.55000000000000004</v>
      </c>
      <c r="S28" s="13">
        <f t="shared" ca="1" si="2"/>
        <v>0.48</v>
      </c>
      <c r="T28" s="12">
        <f ca="1">SUMIF($H$2:$Q$2,"*UAA*",Tableau4326232454[[#This Row],[21]:[Colonne7]])</f>
        <v>11</v>
      </c>
      <c r="U28" s="11">
        <f ca="1">SUMIFS($H$4:$Q$4,$H$2:$Q$2,"*UAA*",Tableau4326232454[[#This Row],[21]:[Colonne7]],"&lt;&gt;-",Tableau4326232454[[#This Row],[21]:[Colonne7]],"&lt;&gt;ABS")</f>
        <v>20</v>
      </c>
      <c r="V28" s="10">
        <f ca="1">SUM(Tableau4326232454[[#This Row],[21]],Tableau4326232454[[#This Row],[22]:[Colonne7]])-T28</f>
        <v>36</v>
      </c>
      <c r="W28" s="9">
        <f ca="1">SUMIFS($H$4:$Q$4,Tableau4326232454[[#This Row],[21]:[Colonne7]],"&lt;&gt;-",Tableau4326232454[[#This Row],[21]:[Colonne7]],"&lt;&gt;ABS")-Tableau4326232454[[#This Row],[      ]]</f>
        <v>75</v>
      </c>
    </row>
    <row r="29" spans="2:33" ht="20.25" customHeight="1" x14ac:dyDescent="0.25">
      <c r="B29" s="2"/>
      <c r="C29" s="1"/>
      <c r="D29" s="1"/>
      <c r="E29" s="1"/>
      <c r="H29"/>
      <c r="I29"/>
      <c r="J29"/>
      <c r="K29"/>
      <c r="L29"/>
      <c r="M29"/>
      <c r="N29"/>
      <c r="O29"/>
      <c r="P29"/>
      <c r="Q29"/>
    </row>
    <row r="30" spans="2:33" ht="20.25" customHeight="1" x14ac:dyDescent="0.25">
      <c r="B30" s="2"/>
      <c r="C30" s="1"/>
      <c r="D30" s="1"/>
      <c r="E30" s="1"/>
      <c r="H30"/>
      <c r="I30"/>
      <c r="J30"/>
      <c r="K30"/>
      <c r="L30"/>
      <c r="M30"/>
      <c r="N30"/>
      <c r="O30"/>
      <c r="P30"/>
      <c r="Q30"/>
      <c r="X30"/>
      <c r="Y30"/>
      <c r="Z30"/>
      <c r="AA30"/>
      <c r="AB30"/>
    </row>
    <row r="31" spans="2:33" ht="20.25" customHeight="1" x14ac:dyDescent="0.25">
      <c r="B31" s="2"/>
      <c r="C31" s="1"/>
      <c r="D31" s="1"/>
      <c r="E31" s="1"/>
      <c r="H31"/>
      <c r="I31"/>
      <c r="J31"/>
      <c r="K31"/>
      <c r="L31"/>
      <c r="M31"/>
      <c r="N31"/>
      <c r="O31"/>
      <c r="P31"/>
      <c r="Q31"/>
      <c r="X31"/>
      <c r="Y31"/>
      <c r="Z31"/>
      <c r="AA31"/>
      <c r="AB31"/>
    </row>
    <row r="32" spans="2:33" ht="20.25" customHeight="1" x14ac:dyDescent="0.25">
      <c r="B32" s="2"/>
      <c r="C32" s="1"/>
      <c r="D32" s="1"/>
      <c r="E32" s="1"/>
      <c r="H32"/>
      <c r="I32"/>
      <c r="J32"/>
      <c r="K32"/>
      <c r="L32"/>
      <c r="M32"/>
      <c r="N32"/>
      <c r="O32"/>
      <c r="P32"/>
      <c r="Q32"/>
      <c r="X32"/>
      <c r="Y32"/>
      <c r="Z32"/>
      <c r="AA32"/>
      <c r="AB32"/>
    </row>
    <row r="33" spans="2:28" ht="20.25" customHeight="1" x14ac:dyDescent="0.25">
      <c r="B33" s="2"/>
      <c r="C33" s="1"/>
      <c r="D33" s="1"/>
      <c r="E33" s="1"/>
      <c r="H33"/>
      <c r="I33"/>
      <c r="J33"/>
      <c r="K33"/>
      <c r="L33"/>
      <c r="M33"/>
      <c r="N33"/>
      <c r="O33"/>
      <c r="P33"/>
      <c r="Q33"/>
      <c r="X33"/>
      <c r="Y33"/>
      <c r="Z33"/>
      <c r="AA33"/>
      <c r="AB33"/>
    </row>
    <row r="34" spans="2:28" ht="20.25" customHeight="1" x14ac:dyDescent="0.25">
      <c r="B34" s="2"/>
      <c r="C34" s="1"/>
      <c r="D34" s="1"/>
      <c r="E34" s="1"/>
      <c r="H34"/>
      <c r="I34"/>
      <c r="J34"/>
      <c r="K34"/>
      <c r="L34"/>
      <c r="M34"/>
      <c r="N34"/>
      <c r="O34"/>
      <c r="P34"/>
      <c r="Q34"/>
      <c r="X34"/>
      <c r="Y34"/>
      <c r="Z34"/>
      <c r="AA34"/>
      <c r="AB34"/>
    </row>
    <row r="35" spans="2:28" ht="20.25" customHeight="1" x14ac:dyDescent="0.25">
      <c r="B35" s="2"/>
      <c r="C35" s="1"/>
      <c r="D35" s="1"/>
      <c r="E35" s="1"/>
      <c r="H35"/>
      <c r="I35"/>
      <c r="J35"/>
      <c r="K35"/>
      <c r="L35"/>
      <c r="M35"/>
      <c r="N35"/>
      <c r="O35"/>
      <c r="P35"/>
      <c r="Q35"/>
      <c r="X35"/>
      <c r="Y35"/>
      <c r="Z35"/>
      <c r="AA35"/>
      <c r="AB35"/>
    </row>
    <row r="36" spans="2:28" ht="20.25" customHeight="1" x14ac:dyDescent="0.25">
      <c r="B36" s="2"/>
      <c r="C36" s="1"/>
      <c r="D36" s="1"/>
      <c r="E36" s="1"/>
      <c r="H36"/>
      <c r="I36"/>
      <c r="J36"/>
      <c r="K36"/>
      <c r="L36"/>
      <c r="M36"/>
      <c r="N36"/>
      <c r="O36"/>
      <c r="P36"/>
      <c r="Q36"/>
      <c r="X36"/>
      <c r="Y36"/>
      <c r="Z36"/>
      <c r="AA36"/>
      <c r="AB36"/>
    </row>
    <row r="37" spans="2:28" ht="20.25" customHeight="1" x14ac:dyDescent="0.25">
      <c r="B37" s="2"/>
      <c r="C37" s="1"/>
      <c r="D37" s="1"/>
      <c r="E37" s="1"/>
      <c r="H37"/>
      <c r="I37"/>
      <c r="J37"/>
      <c r="K37"/>
      <c r="L37"/>
      <c r="M37"/>
      <c r="N37"/>
      <c r="O37"/>
      <c r="P37"/>
      <c r="Q37"/>
      <c r="X37"/>
      <c r="Y37"/>
      <c r="Z37"/>
      <c r="AA37"/>
      <c r="AB37"/>
    </row>
    <row r="38" spans="2:28" ht="20.25" customHeight="1" x14ac:dyDescent="0.25">
      <c r="B38" s="2"/>
      <c r="C38" s="1"/>
      <c r="D38" s="1"/>
      <c r="E38" s="1"/>
      <c r="H38"/>
      <c r="I38"/>
      <c r="J38"/>
      <c r="K38"/>
      <c r="L38"/>
      <c r="M38"/>
      <c r="N38"/>
      <c r="O38"/>
      <c r="P38"/>
      <c r="Q38"/>
      <c r="X38"/>
      <c r="Y38"/>
      <c r="Z38"/>
      <c r="AA38"/>
      <c r="AB38"/>
    </row>
    <row r="39" spans="2:28" ht="20.25" customHeight="1" x14ac:dyDescent="0.25">
      <c r="B39" s="2"/>
      <c r="C39" s="1"/>
      <c r="D39" s="1"/>
      <c r="E39" s="1"/>
      <c r="H39"/>
      <c r="I39"/>
      <c r="J39"/>
      <c r="K39"/>
      <c r="L39"/>
      <c r="M39"/>
      <c r="N39"/>
      <c r="O39"/>
      <c r="P39"/>
      <c r="Q39"/>
      <c r="X39"/>
      <c r="Y39"/>
      <c r="Z39"/>
      <c r="AA39"/>
      <c r="AB39"/>
    </row>
    <row r="40" spans="2:28" ht="20.25" customHeight="1" x14ac:dyDescent="0.25">
      <c r="C40" s="1"/>
      <c r="D40" s="1"/>
      <c r="E40" s="1"/>
      <c r="H40"/>
      <c r="I40"/>
      <c r="J40"/>
      <c r="K40"/>
      <c r="L40"/>
      <c r="M40"/>
      <c r="N40"/>
      <c r="O40"/>
      <c r="P40"/>
      <c r="Q40"/>
      <c r="X40"/>
      <c r="Y40"/>
      <c r="Z40"/>
      <c r="AA40"/>
      <c r="AB40"/>
    </row>
    <row r="41" spans="2:28" ht="20.25" customHeight="1" x14ac:dyDescent="0.25">
      <c r="B41" s="2"/>
      <c r="C41" s="1"/>
      <c r="D41" s="1"/>
      <c r="E41" s="1"/>
      <c r="H41"/>
      <c r="I41"/>
      <c r="J41"/>
      <c r="K41"/>
      <c r="L41"/>
      <c r="M41"/>
      <c r="N41"/>
      <c r="O41"/>
      <c r="P41"/>
      <c r="Q41"/>
      <c r="X41"/>
      <c r="Y41"/>
      <c r="Z41"/>
      <c r="AA41"/>
      <c r="AB41"/>
    </row>
  </sheetData>
  <mergeCells count="27">
    <mergeCell ref="Z27:AB27"/>
    <mergeCell ref="Z16:AC16"/>
    <mergeCell ref="Z17:AE17"/>
    <mergeCell ref="Z19:AD20"/>
    <mergeCell ref="Z21:AB21"/>
    <mergeCell ref="AC21:AD21"/>
    <mergeCell ref="AE4:AE5"/>
    <mergeCell ref="Z22:AB22"/>
    <mergeCell ref="AC22:AD22"/>
    <mergeCell ref="Z25:AB25"/>
    <mergeCell ref="Z26:AB26"/>
    <mergeCell ref="AF4:AF5"/>
    <mergeCell ref="V2:V4"/>
    <mergeCell ref="B2:F4"/>
    <mergeCell ref="R2:R4"/>
    <mergeCell ref="S2:S4"/>
    <mergeCell ref="T2:T4"/>
    <mergeCell ref="U2:U4"/>
    <mergeCell ref="W2:W4"/>
    <mergeCell ref="Z2:AD2"/>
    <mergeCell ref="AE2:AF2"/>
    <mergeCell ref="Z3:AF3"/>
    <mergeCell ref="Z4:Z5"/>
    <mergeCell ref="AA4:AA5"/>
    <mergeCell ref="AB4:AB5"/>
    <mergeCell ref="AC4:AC5"/>
    <mergeCell ref="AD4:AD5"/>
  </mergeCells>
  <phoneticPr fontId="10" type="noConversion"/>
  <conditionalFormatting sqref="C6:C28">
    <cfRule type="cellIs" dxfId="59" priority="29" operator="lessThan">
      <formula>50%</formula>
    </cfRule>
    <cfRule type="cellIs" dxfId="58" priority="30" operator="lessThan">
      <formula>0.6</formula>
    </cfRule>
  </conditionalFormatting>
  <conditionalFormatting sqref="D6:D28">
    <cfRule type="cellIs" dxfId="57" priority="31" operator="lessThan">
      <formula>10</formula>
    </cfRule>
    <cfRule type="cellIs" dxfId="56" priority="32" operator="lessThan">
      <formula>12</formula>
    </cfRule>
  </conditionalFormatting>
  <conditionalFormatting sqref="H6:J28">
    <cfRule type="containsText" dxfId="55" priority="3" operator="containsText" text="ABS">
      <formula>NOT(ISERROR(SEARCH("ABS",H6)))</formula>
    </cfRule>
    <cfRule type="cellIs" dxfId="54" priority="4" operator="lessThan">
      <formula>0.5*H$4</formula>
    </cfRule>
    <cfRule type="cellIs" dxfId="53" priority="5" operator="lessThan">
      <formula>0.6*H$4</formula>
    </cfRule>
    <cfRule type="containsBlanks" dxfId="52" priority="6">
      <formula>LEN(TRIM(H6))=0</formula>
    </cfRule>
    <cfRule type="containsText" dxfId="51" priority="7" operator="containsText" text="ABS">
      <formula>NOT(ISERROR(SEARCH("ABS",H6)))</formula>
    </cfRule>
    <cfRule type="cellIs" dxfId="50" priority="8" operator="lessThan">
      <formula>0.5*H$4</formula>
    </cfRule>
    <cfRule type="cellIs" dxfId="49" priority="9" operator="lessThan">
      <formula>0.6*H$4</formula>
    </cfRule>
  </conditionalFormatting>
  <conditionalFormatting sqref="K6:K28">
    <cfRule type="containsText" dxfId="48" priority="17" operator="containsText" text="ABS">
      <formula>NOT(ISERROR(SEARCH("ABS",K6)))</formula>
    </cfRule>
    <cfRule type="cellIs" dxfId="47" priority="18" operator="lessThan">
      <formula>0.5*K$4</formula>
    </cfRule>
    <cfRule type="cellIs" dxfId="46" priority="19" operator="lessThan">
      <formula>0.6*K$4</formula>
    </cfRule>
    <cfRule type="containsText" dxfId="45" priority="20" operator="containsText" text="ABS">
      <formula>NOT(ISERROR(SEARCH("ABS",K6)))</formula>
    </cfRule>
    <cfRule type="cellIs" dxfId="44" priority="21" operator="lessThan">
      <formula>0.5*K$4</formula>
    </cfRule>
    <cfRule type="cellIs" dxfId="43" priority="22" operator="lessThan">
      <formula>0.6*K$4</formula>
    </cfRule>
  </conditionalFormatting>
  <conditionalFormatting sqref="K23">
    <cfRule type="containsText" dxfId="42" priority="11" operator="containsText" text="ABS">
      <formula>NOT(ISERROR(SEARCH("ABS",K23)))</formula>
    </cfRule>
    <cfRule type="cellIs" dxfId="41" priority="12" operator="lessThan">
      <formula>0.5*K$4</formula>
    </cfRule>
    <cfRule type="cellIs" dxfId="40" priority="13" operator="lessThan">
      <formula>0.6*K$4</formula>
    </cfRule>
    <cfRule type="containsText" dxfId="39" priority="14" operator="containsText" text="ABS">
      <formula>NOT(ISERROR(SEARCH("ABS",K23)))</formula>
    </cfRule>
    <cfRule type="cellIs" dxfId="38" priority="15" operator="lessThan">
      <formula>0.5*K$4</formula>
    </cfRule>
    <cfRule type="cellIs" dxfId="37" priority="16" operator="lessThan">
      <formula>0.6*K$4</formula>
    </cfRule>
  </conditionalFormatting>
  <conditionalFormatting sqref="K6:Q28 C6:D28 T6:W28">
    <cfRule type="containsText" dxfId="36" priority="28" operator="containsText" text="ABS">
      <formula>NOT(ISERROR(SEARCH("ABS",C6)))</formula>
    </cfRule>
  </conditionalFormatting>
  <conditionalFormatting sqref="K6:Q28">
    <cfRule type="containsBlanks" dxfId="35" priority="10">
      <formula>LEN(TRIM(K6))=0</formula>
    </cfRule>
    <cfRule type="cellIs" dxfId="34" priority="33" operator="lessThan">
      <formula>0.5*K$4</formula>
    </cfRule>
    <cfRule type="cellIs" dxfId="33" priority="34" operator="lessThan">
      <formula>0.6*K$4</formula>
    </cfRule>
  </conditionalFormatting>
  <conditionalFormatting sqref="R6:R28">
    <cfRule type="cellIs" dxfId="32" priority="26" operator="lessThan">
      <formula>$S6*0.6</formula>
    </cfRule>
  </conditionalFormatting>
  <conditionalFormatting sqref="R6:S28">
    <cfRule type="cellIs" dxfId="31" priority="23" operator="lessThan">
      <formula>50%</formula>
    </cfRule>
    <cfRule type="cellIs" dxfId="30" priority="24" operator="lessThan">
      <formula>0.6</formula>
    </cfRule>
    <cfRule type="containsText" dxfId="29" priority="25" operator="containsText" text="ABS">
      <formula>NOT(ISERROR(SEARCH("ABS",R6)))</formula>
    </cfRule>
  </conditionalFormatting>
  <conditionalFormatting sqref="AA6:AA15">
    <cfRule type="containsText" dxfId="28" priority="27" operator="containsText" text="O">
      <formula>NOT(ISERROR(SEARCH("O",AA6)))</formula>
    </cfRule>
  </conditionalFormatting>
  <conditionalFormatting sqref="AF6:AF16">
    <cfRule type="cellIs" dxfId="27" priority="37" operator="lessThan">
      <formula>0.5</formula>
    </cfRule>
    <cfRule type="cellIs" dxfId="26" priority="38" operator="lessThan">
      <formula>0.6</formula>
    </cfRule>
  </conditionalFormatting>
  <conditionalFormatting sqref="AB6:AB15">
    <cfRule type="cellIs" dxfId="25" priority="1" operator="lessThan">
      <formula>0.5</formula>
    </cfRule>
    <cfRule type="cellIs" dxfId="24" priority="2" operator="lessThan">
      <formula>0.6</formula>
    </cfRule>
  </conditionalFormatting>
  <pageMargins left="0.23622047244094491" right="0.23622047244094491" top="0.74803149606299213" bottom="0.74803149606299213" header="0.31496062992125984" footer="0.31496062992125984"/>
  <pageSetup paperSize="9" scale="75" fitToWidth="0" fitToHeight="0" orientation="landscape" horizontalDpi="300" verticalDpi="300" r:id="rId1"/>
  <headerFooter>
    <oddHeader>&amp;C&amp;"-,Gras"&amp;22Évaluations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4045-C925-44AB-9017-5836F4325F31}">
  <sheetPr codeName="Feuil5">
    <tabColor theme="1"/>
  </sheetPr>
  <dimension ref="A1"/>
  <sheetViews>
    <sheetView workbookViewId="0">
      <selection activeCell="L8" sqref="L8:L13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ToCSV">
                <anchor moveWithCells="1" sizeWithCells="1">
                  <from>
                    <xdr:col>2</xdr:col>
                    <xdr:colOff>161925</xdr:colOff>
                    <xdr:row>3</xdr:row>
                    <xdr:rowOff>114300</xdr:rowOff>
                  </from>
                  <to>
                    <xdr:col>4</xdr:col>
                    <xdr:colOff>495300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ResetResults">
                <anchor moveWithCells="1" sizeWithCells="1">
                  <from>
                    <xdr:col>5</xdr:col>
                    <xdr:colOff>409575</xdr:colOff>
                    <xdr:row>3</xdr:row>
                    <xdr:rowOff>76200</xdr:rowOff>
                  </from>
                  <to>
                    <xdr:col>9</xdr:col>
                    <xdr:colOff>352425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Class1</vt:lpstr>
      <vt:lpstr>Class2</vt:lpstr>
      <vt:lpstr>export CSV</vt:lpstr>
      <vt:lpstr>Class1!Impression_des_titres</vt:lpstr>
      <vt:lpstr>Class2!Impression_des_titres</vt:lpstr>
      <vt:lpstr>Class1!Zone_d_impression</vt:lpstr>
      <vt:lpstr>Class2!Zone_d_impression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2024-03-24T09:15:57Z</dcterms:modified>
</cp:coreProperties>
</file>